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telliatx-my.sharepoint.com/personal/joseph_rissman_intelliatx_com/Documents/source_code/coursework/BU/CS699/hw9/"/>
    </mc:Choice>
  </mc:AlternateContent>
  <xr:revisionPtr revIDLastSave="0" documentId="8_{DF9EA9AA-E720-4754-A625-CC26AE8D7F9D}" xr6:coauthVersionLast="47" xr6:coauthVersionMax="47" xr10:uidLastSave="{00000000-0000-0000-0000-000000000000}"/>
  <bookViews>
    <workbookView xWindow="-120" yWindow="-120" windowWidth="29040" windowHeight="15840" xr2:uid="{3D03D0E6-CEE7-41A1-B044-9C4D1ACD400A}"/>
  </bookViews>
  <sheets>
    <sheet name="Sheet1" sheetId="1" r:id="rId1"/>
    <sheet name="Sheet2" sheetId="2" r:id="rId2"/>
    <sheet name="Sheet3" sheetId="3" r:id="rId3"/>
  </sheets>
  <definedNames>
    <definedName name="_xlchart.v1.0" hidden="1">Sheet2!$A$1:$A$10</definedName>
    <definedName name="_xlchart.v1.1" hidden="1">Sheet2!$A$1:$A$10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2" l="1"/>
  <c r="I20" i="1"/>
  <c r="H20" i="1"/>
  <c r="I19" i="1"/>
  <c r="H19" i="1"/>
  <c r="I18" i="1"/>
  <c r="H18" i="1"/>
  <c r="I17" i="1"/>
  <c r="H17" i="1"/>
  <c r="I16" i="1"/>
  <c r="H16" i="1"/>
  <c r="I15" i="1"/>
  <c r="H15" i="1"/>
  <c r="C23" i="1"/>
  <c r="B23" i="1"/>
  <c r="G20" i="1"/>
  <c r="F20" i="1"/>
  <c r="G19" i="1"/>
  <c r="G18" i="1"/>
  <c r="F17" i="1"/>
  <c r="F16" i="1"/>
  <c r="F15" i="1"/>
  <c r="F21" i="1"/>
  <c r="C22" i="1"/>
  <c r="B22" i="1"/>
  <c r="C21" i="1"/>
  <c r="B21" i="1"/>
  <c r="H8" i="1"/>
  <c r="H7" i="1"/>
  <c r="H6" i="1"/>
  <c r="H5" i="1"/>
  <c r="H4" i="1"/>
  <c r="H3" i="1"/>
  <c r="H2" i="1"/>
  <c r="G8" i="1"/>
  <c r="G7" i="1"/>
  <c r="G6" i="1"/>
  <c r="G5" i="1"/>
  <c r="G4" i="1"/>
  <c r="G3" i="1"/>
  <c r="G2" i="1"/>
  <c r="F8" i="1"/>
  <c r="F7" i="1"/>
  <c r="F6" i="1"/>
  <c r="F5" i="1"/>
  <c r="F4" i="1"/>
  <c r="F3" i="1"/>
  <c r="F2" i="1"/>
  <c r="C11" i="1"/>
  <c r="B11" i="1"/>
  <c r="C10" i="1"/>
  <c r="B10" i="1"/>
</calcChain>
</file>

<file path=xl/sharedStrings.xml><?xml version="1.0" encoding="utf-8"?>
<sst xmlns="http://schemas.openxmlformats.org/spreadsheetml/2006/main" count="42" uniqueCount="16">
  <si>
    <t>ID</t>
  </si>
  <si>
    <t>x</t>
  </si>
  <si>
    <t>y</t>
  </si>
  <si>
    <t>Cluster</t>
  </si>
  <si>
    <t>a</t>
  </si>
  <si>
    <t>Cluster 1</t>
  </si>
  <si>
    <t>b</t>
  </si>
  <si>
    <t>c</t>
  </si>
  <si>
    <t>d</t>
  </si>
  <si>
    <t>Cluster 2</t>
  </si>
  <si>
    <t>e</t>
  </si>
  <si>
    <t>f</t>
  </si>
  <si>
    <t>g</t>
  </si>
  <si>
    <t>C1</t>
  </si>
  <si>
    <t>C2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</si>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</sst>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onsolas"/>
      <family val="2"/>
    </font>
    <font>
      <sz val="12"/>
      <color theme="1"/>
      <name val="TimesNewRomanPSMT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9EF0C3C1-E475-472C-8B1E-9CE1A5F2CEB8}">
          <cx:dataId val="0"/>
          <cx:layoutPr>
            <cx:binning intervalClosed="r">
              <cx:binSize val="0.2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273050</xdr:colOff>
      <xdr:row>2</xdr:row>
      <xdr:rowOff>41275</xdr:rowOff>
    </xdr:from>
    <xdr:to>
      <xdr:col>12</xdr:col>
      <xdr:colOff>222250</xdr:colOff>
      <xdr:row>17</xdr:row>
      <xdr:rowOff>22225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998D4A8-E370-7A8F-E8E5-DA729236D2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75050" y="4095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30F0B-C79F-4EF6-8E89-2D8797BFCF98}">
  <dimension ref="A1:I23"/>
  <sheetViews>
    <sheetView tabSelected="1" workbookViewId="0">
      <selection activeCell="I21" sqref="I21"/>
    </sheetView>
  </sheetViews>
  <sheetFormatPr defaultRowHeight="14.5"/>
  <cols>
    <col min="6" max="6" width="4.75" bestFit="1" customWidth="1"/>
  </cols>
  <sheetData>
    <row r="1" spans="1:9" ht="16" thickBot="1">
      <c r="A1" s="1" t="s">
        <v>0</v>
      </c>
      <c r="B1" s="2" t="s">
        <v>1</v>
      </c>
      <c r="C1" s="2" t="s">
        <v>2</v>
      </c>
      <c r="D1" s="2" t="s">
        <v>3</v>
      </c>
      <c r="F1" s="5" t="s">
        <v>13</v>
      </c>
      <c r="G1" s="5" t="s">
        <v>14</v>
      </c>
    </row>
    <row r="2" spans="1:9" ht="16" thickBot="1">
      <c r="A2" s="3" t="s">
        <v>4</v>
      </c>
      <c r="B2" s="4">
        <v>2</v>
      </c>
      <c r="C2" s="4">
        <v>4</v>
      </c>
      <c r="D2" s="4" t="s">
        <v>5</v>
      </c>
      <c r="F2" s="6">
        <f>SQRT((B$10-B2)^2+(C$10-C2)^2)</f>
        <v>1.6666666666666667</v>
      </c>
      <c r="G2" s="6">
        <f>SQRT((B$11-B2)^2+(C$11-C2)^2)</f>
        <v>1.9525624189766635</v>
      </c>
      <c r="H2" t="str">
        <f>IF(F2&lt;G2,F$1,G$1)</f>
        <v>C1</v>
      </c>
    </row>
    <row r="3" spans="1:9" ht="16" thickBot="1">
      <c r="A3" s="3" t="s">
        <v>6</v>
      </c>
      <c r="B3" s="4">
        <v>3</v>
      </c>
      <c r="C3" s="4">
        <v>2</v>
      </c>
      <c r="D3" s="4" t="s">
        <v>5</v>
      </c>
      <c r="F3" s="6">
        <f t="shared" ref="F3:F8" si="0">SQRT((B$10-B3)^2+(C$10-C3)^2)</f>
        <v>1.0540925533894598</v>
      </c>
      <c r="G3" s="6">
        <f t="shared" ref="G3:G8" si="1">SQRT((B$11-B3)^2+(C$11-C3)^2)</f>
        <v>0.90138781886599728</v>
      </c>
      <c r="H3" t="str">
        <f t="shared" ref="H3:H8" si="2">IF(F3&lt;G3,F$1,G$1)</f>
        <v>C2</v>
      </c>
    </row>
    <row r="4" spans="1:9" ht="16" thickBot="1">
      <c r="A4" s="3" t="s">
        <v>7</v>
      </c>
      <c r="B4" s="4">
        <v>5</v>
      </c>
      <c r="C4" s="4">
        <v>3</v>
      </c>
      <c r="D4" s="4" t="s">
        <v>5</v>
      </c>
      <c r="F4" s="6">
        <f t="shared" si="0"/>
        <v>1.6666666666666665</v>
      </c>
      <c r="G4" s="6">
        <f t="shared" si="1"/>
        <v>1.5206906325745548</v>
      </c>
      <c r="H4" t="str">
        <f t="shared" si="2"/>
        <v>C2</v>
      </c>
    </row>
    <row r="5" spans="1:9" ht="16" thickBot="1">
      <c r="A5" s="3" t="s">
        <v>8</v>
      </c>
      <c r="B5" s="4">
        <v>1</v>
      </c>
      <c r="C5" s="4">
        <v>3</v>
      </c>
      <c r="D5" s="4" t="s">
        <v>9</v>
      </c>
      <c r="F5" s="6">
        <f t="shared" si="0"/>
        <v>2.3333333333333335</v>
      </c>
      <c r="G5" s="6">
        <f t="shared" si="1"/>
        <v>2.5124689052802225</v>
      </c>
      <c r="H5" t="str">
        <f t="shared" si="2"/>
        <v>C1</v>
      </c>
    </row>
    <row r="6" spans="1:9" ht="16" thickBot="1">
      <c r="A6" s="3" t="s">
        <v>10</v>
      </c>
      <c r="B6" s="4">
        <v>3</v>
      </c>
      <c r="C6" s="4">
        <v>1</v>
      </c>
      <c r="D6" s="4" t="s">
        <v>9</v>
      </c>
      <c r="F6" s="6">
        <f t="shared" si="0"/>
        <v>2.0275875100994067</v>
      </c>
      <c r="G6" s="6">
        <f t="shared" si="1"/>
        <v>1.8200274723201295</v>
      </c>
      <c r="H6" t="str">
        <f t="shared" si="2"/>
        <v>C2</v>
      </c>
    </row>
    <row r="7" spans="1:9" ht="16" thickBot="1">
      <c r="A7" s="3" t="s">
        <v>11</v>
      </c>
      <c r="B7" s="4">
        <v>4</v>
      </c>
      <c r="C7" s="4">
        <v>5</v>
      </c>
      <c r="D7" s="4" t="s">
        <v>9</v>
      </c>
      <c r="F7" s="6">
        <f t="shared" si="0"/>
        <v>2.1081851067789197</v>
      </c>
      <c r="G7" s="6">
        <f t="shared" si="1"/>
        <v>2.3048861143232218</v>
      </c>
      <c r="H7" t="str">
        <f t="shared" si="2"/>
        <v>C1</v>
      </c>
    </row>
    <row r="8" spans="1:9" ht="16" thickBot="1">
      <c r="A8" s="3" t="s">
        <v>12</v>
      </c>
      <c r="B8" s="4">
        <v>6</v>
      </c>
      <c r="C8" s="4">
        <v>2</v>
      </c>
      <c r="D8" s="4" t="s">
        <v>9</v>
      </c>
      <c r="F8" s="6">
        <f t="shared" si="0"/>
        <v>2.8480012484391768</v>
      </c>
      <c r="G8" s="6">
        <f t="shared" si="1"/>
        <v>2.6100766272276377</v>
      </c>
      <c r="H8" t="str">
        <f t="shared" si="2"/>
        <v>C2</v>
      </c>
    </row>
    <row r="10" spans="1:9" ht="15.5">
      <c r="A10" s="5" t="s">
        <v>13</v>
      </c>
      <c r="B10">
        <f>AVERAGE(B2:B4)</f>
        <v>3.3333333333333335</v>
      </c>
      <c r="C10">
        <f>AVERAGE(C2:C4)</f>
        <v>3</v>
      </c>
    </row>
    <row r="11" spans="1:9" ht="15.5">
      <c r="A11" s="5" t="s">
        <v>14</v>
      </c>
      <c r="B11">
        <f>AVERAGE(B5:B8)</f>
        <v>3.5</v>
      </c>
      <c r="C11">
        <f>AVERAGE(C5:C8)</f>
        <v>2.75</v>
      </c>
    </row>
    <row r="13" spans="1:9" ht="15" thickBot="1"/>
    <row r="14" spans="1:9" ht="16" thickBot="1">
      <c r="A14" s="1" t="s">
        <v>0</v>
      </c>
      <c r="B14" s="2" t="s">
        <v>1</v>
      </c>
      <c r="C14" s="2" t="s">
        <v>2</v>
      </c>
      <c r="D14" s="2" t="s">
        <v>3</v>
      </c>
      <c r="F14" s="5" t="s">
        <v>13</v>
      </c>
      <c r="G14" s="5" t="s">
        <v>14</v>
      </c>
      <c r="H14" s="5" t="s">
        <v>15</v>
      </c>
    </row>
    <row r="15" spans="1:9" ht="16" thickBot="1">
      <c r="A15" s="3" t="s">
        <v>4</v>
      </c>
      <c r="B15" s="4">
        <v>3</v>
      </c>
      <c r="C15" s="4">
        <v>7</v>
      </c>
      <c r="D15" s="4" t="s">
        <v>5</v>
      </c>
      <c r="F15" s="6">
        <f>SQRT((B$21-B15)^2+(C$21-C15)^2)</f>
        <v>1.333333333333333</v>
      </c>
      <c r="G15" s="6"/>
      <c r="H15">
        <f>(B$23-B15)^2</f>
        <v>4</v>
      </c>
      <c r="I15">
        <f>(C$23-C15)^2</f>
        <v>2.5599999999999987</v>
      </c>
    </row>
    <row r="16" spans="1:9" ht="16" thickBot="1">
      <c r="A16" s="3" t="s">
        <v>6</v>
      </c>
      <c r="B16" s="4">
        <v>2</v>
      </c>
      <c r="C16" s="4">
        <v>6</v>
      </c>
      <c r="D16" s="4" t="s">
        <v>5</v>
      </c>
      <c r="F16" s="6">
        <f t="shared" ref="F16:F19" si="3">SQRT((B$21-B16)^2+(C$21-C16)^2)</f>
        <v>1.0540925533894596</v>
      </c>
      <c r="G16" s="6"/>
      <c r="H16">
        <f t="shared" ref="H16:H19" si="4">(B$23-B16)^2</f>
        <v>9</v>
      </c>
      <c r="I16">
        <f t="shared" ref="I16:I19" si="5">(C$23-C16)^2</f>
        <v>0.3599999999999996</v>
      </c>
    </row>
    <row r="17" spans="1:9" ht="16" thickBot="1">
      <c r="A17" s="3" t="s">
        <v>7</v>
      </c>
      <c r="B17" s="4">
        <v>4</v>
      </c>
      <c r="C17" s="4">
        <v>4</v>
      </c>
      <c r="D17" s="4" t="s">
        <v>5</v>
      </c>
      <c r="F17" s="6">
        <f t="shared" si="3"/>
        <v>1.9436506316151003</v>
      </c>
      <c r="G17" s="6"/>
      <c r="H17">
        <f t="shared" si="4"/>
        <v>1</v>
      </c>
      <c r="I17">
        <f t="shared" si="5"/>
        <v>1.9600000000000011</v>
      </c>
    </row>
    <row r="18" spans="1:9" ht="16" thickBot="1">
      <c r="A18" s="3" t="s">
        <v>8</v>
      </c>
      <c r="B18" s="4">
        <v>9</v>
      </c>
      <c r="C18" s="4">
        <v>6</v>
      </c>
      <c r="D18" s="4" t="s">
        <v>9</v>
      </c>
      <c r="F18" s="6"/>
      <c r="G18" s="6">
        <f t="shared" ref="G16:G19" si="6">SQRT((B$22-B18)^2+(C$22-C18)^2)</f>
        <v>1.4142135623730951</v>
      </c>
      <c r="H18">
        <f t="shared" si="4"/>
        <v>16</v>
      </c>
      <c r="I18">
        <f t="shared" si="5"/>
        <v>0.3599999999999996</v>
      </c>
    </row>
    <row r="19" spans="1:9" ht="16" thickBot="1">
      <c r="A19" s="3" t="s">
        <v>10</v>
      </c>
      <c r="B19" s="4">
        <v>7</v>
      </c>
      <c r="C19" s="4">
        <v>4</v>
      </c>
      <c r="D19" s="4" t="s">
        <v>9</v>
      </c>
      <c r="F19" s="6"/>
      <c r="G19" s="6">
        <f t="shared" si="6"/>
        <v>1.4142135623730951</v>
      </c>
      <c r="H19">
        <f t="shared" si="4"/>
        <v>4</v>
      </c>
      <c r="I19">
        <f t="shared" si="5"/>
        <v>1.9600000000000011</v>
      </c>
    </row>
    <row r="20" spans="1:9">
      <c r="F20" s="6">
        <f>F15^2+F16^2+F17^2</f>
        <v>6.6666666666666661</v>
      </c>
      <c r="G20" s="6">
        <f>G18^2+G19^2</f>
        <v>4.0000000000000009</v>
      </c>
      <c r="H20">
        <f>SUM(H15:I19)</f>
        <v>41.199999999999996</v>
      </c>
      <c r="I20" s="6">
        <f>H20-G20-F20</f>
        <v>30.533333333333331</v>
      </c>
    </row>
    <row r="21" spans="1:9" ht="15.5">
      <c r="A21" s="5" t="s">
        <v>13</v>
      </c>
      <c r="B21">
        <f>AVERAGE(B15:B17)</f>
        <v>3</v>
      </c>
      <c r="C21">
        <f>AVERAGE(C15:C17)</f>
        <v>5.666666666666667</v>
      </c>
      <c r="F21" s="6">
        <f>SQRT((B22-B21)^2+(C22-C21)^2)</f>
        <v>5.0442486501405188</v>
      </c>
    </row>
    <row r="22" spans="1:9" ht="15.5">
      <c r="A22" s="5" t="s">
        <v>14</v>
      </c>
      <c r="B22">
        <f>AVERAGE(B18:B19)</f>
        <v>8</v>
      </c>
      <c r="C22">
        <f>AVERAGE(C18:C19)</f>
        <v>5</v>
      </c>
    </row>
    <row r="23" spans="1:9" ht="15.5">
      <c r="A23" s="5" t="s">
        <v>15</v>
      </c>
      <c r="B23">
        <f>AVERAGE(B15:B19)</f>
        <v>5</v>
      </c>
      <c r="C23">
        <f>AVERAGE(C15:C19)</f>
        <v>5.4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63FD1-D5DB-453F-84B2-85E990C546BC}">
  <dimension ref="A1:A12"/>
  <sheetViews>
    <sheetView workbookViewId="0">
      <selection activeCell="A13" sqref="A13"/>
    </sheetView>
  </sheetViews>
  <sheetFormatPr defaultRowHeight="14.5"/>
  <sheetData>
    <row r="1" spans="1:1">
      <c r="A1">
        <v>9</v>
      </c>
    </row>
    <row r="2" spans="1:1">
      <c r="A2">
        <v>10</v>
      </c>
    </row>
    <row r="3" spans="1:1">
      <c r="A3">
        <v>12</v>
      </c>
    </row>
    <row r="4" spans="1:1">
      <c r="A4">
        <v>8</v>
      </c>
    </row>
    <row r="5" spans="1:1">
      <c r="A5">
        <v>9.5</v>
      </c>
    </row>
    <row r="6" spans="1:1">
      <c r="A6">
        <v>9</v>
      </c>
    </row>
    <row r="7" spans="1:1">
      <c r="A7">
        <v>10.5</v>
      </c>
    </row>
    <row r="8" spans="1:1">
      <c r="A8">
        <v>10</v>
      </c>
    </row>
    <row r="9" spans="1:1">
      <c r="A9">
        <v>8.5</v>
      </c>
    </row>
    <row r="10" spans="1:1">
      <c r="A10">
        <v>9.5</v>
      </c>
    </row>
    <row r="12" spans="1:1">
      <c r="A12">
        <f>_xlfn.STDEV.S(A1:A10)</f>
        <v>1.1254628677422744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AF3F2-785E-4117-A545-CDE114E8A1C7}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Rissman</dc:creator>
  <cp:lastModifiedBy>Joseph Rissman</cp:lastModifiedBy>
  <dcterms:created xsi:type="dcterms:W3CDTF">2024-04-03T23:26:34Z</dcterms:created>
  <dcterms:modified xsi:type="dcterms:W3CDTF">2024-04-11T13:41:07Z</dcterms:modified>
</cp:coreProperties>
</file>