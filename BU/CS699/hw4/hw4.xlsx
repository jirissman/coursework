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hw4/"/>
    </mc:Choice>
  </mc:AlternateContent>
  <xr:revisionPtr revIDLastSave="126" documentId="8_{56AEE023-0B1E-40B6-9DD2-4D21737A7DDF}" xr6:coauthVersionLast="47" xr6:coauthVersionMax="47" xr10:uidLastSave="{969DCB24-30D0-4776-BACF-C79E594A34FC}"/>
  <bookViews>
    <workbookView xWindow="-28920" yWindow="-120" windowWidth="29040" windowHeight="15840" xr2:uid="{84B5FE8E-AE57-43CE-9EF2-09BF9A63B10B}"/>
  </bookViews>
  <sheets>
    <sheet name="P1" sheetId="1" r:id="rId1"/>
    <sheet name="P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 a="1"/>
  <c r="F6" i="3" s="1"/>
  <c r="F2" i="3" a="1"/>
  <c r="F2" i="3" s="1"/>
  <c r="D23" i="3"/>
  <c r="D22" i="3"/>
  <c r="D21" i="3"/>
  <c r="D16" i="3"/>
  <c r="D19" i="3" s="1"/>
  <c r="D15" i="3"/>
  <c r="G9" i="1" a="1"/>
  <c r="G9" i="1" s="1"/>
  <c r="I9" i="1" s="1"/>
  <c r="G6" i="1" a="1"/>
  <c r="G6" i="1" s="1"/>
  <c r="I6" i="1" s="1"/>
  <c r="G2" i="1" a="1"/>
  <c r="G2" i="1" s="1"/>
  <c r="I2" i="1" s="1"/>
  <c r="L9" i="1" l="1"/>
  <c r="L6" i="1"/>
  <c r="G2" i="3"/>
  <c r="H2" i="3"/>
  <c r="G6" i="3"/>
  <c r="H6" i="3"/>
  <c r="H3" i="3"/>
  <c r="K3" i="3" s="1"/>
  <c r="H7" i="1"/>
  <c r="G7" i="3"/>
  <c r="G4" i="3"/>
  <c r="H7" i="3"/>
  <c r="K7" i="3" s="1"/>
  <c r="H4" i="3"/>
  <c r="K4" i="3" s="1"/>
  <c r="G3" i="3"/>
  <c r="H6" i="1"/>
  <c r="I7" i="1"/>
  <c r="L7" i="1" s="1"/>
  <c r="H10" i="1"/>
  <c r="H9" i="1"/>
  <c r="D24" i="3"/>
  <c r="I10" i="1"/>
  <c r="L10" i="1" s="1"/>
  <c r="H11" i="1"/>
  <c r="I11" i="1"/>
  <c r="L11" i="1" s="1"/>
  <c r="D20" i="3"/>
  <c r="D25" i="3"/>
  <c r="L2" i="1"/>
  <c r="H2" i="1"/>
  <c r="J2" i="1" s="1"/>
  <c r="H3" i="1"/>
  <c r="I3" i="1"/>
  <c r="L3" i="1" s="1"/>
  <c r="H4" i="1"/>
  <c r="I4" i="1"/>
  <c r="L4" i="1" s="1"/>
  <c r="J4" i="1" l="1"/>
  <c r="J3" i="1"/>
  <c r="I4" i="3"/>
  <c r="J4" i="3"/>
  <c r="J7" i="3"/>
  <c r="I7" i="3"/>
  <c r="J7" i="1"/>
  <c r="K7" i="1"/>
  <c r="H8" i="3"/>
  <c r="K6" i="3"/>
  <c r="G8" i="3"/>
  <c r="I8" i="3" s="1"/>
  <c r="J6" i="3"/>
  <c r="I6" i="3"/>
  <c r="H5" i="3"/>
  <c r="K2" i="3"/>
  <c r="G5" i="3"/>
  <c r="I5" i="3" s="1"/>
  <c r="I2" i="3"/>
  <c r="J2" i="3"/>
  <c r="J6" i="1"/>
  <c r="K6" i="1"/>
  <c r="H8" i="1"/>
  <c r="J9" i="1"/>
  <c r="H12" i="1"/>
  <c r="K9" i="1"/>
  <c r="J3" i="3"/>
  <c r="I3" i="3"/>
  <c r="J11" i="1"/>
  <c r="K11" i="1"/>
  <c r="I8" i="1"/>
  <c r="J10" i="1"/>
  <c r="K10" i="1"/>
  <c r="I12" i="1"/>
  <c r="K3" i="1"/>
  <c r="H5" i="1"/>
  <c r="J5" i="1" s="1"/>
  <c r="K2" i="1"/>
  <c r="I5" i="1"/>
  <c r="K4" i="1"/>
  <c r="J12" i="1" l="1"/>
  <c r="J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<sst xmlns="http://schemas.openxmlformats.org/spreadsheetml/2006/main" count="125" uniqueCount="26">
  <si>
    <t>ID</t>
  </si>
  <si>
    <t>A1</t>
  </si>
  <si>
    <t>A2</t>
  </si>
  <si>
    <t>A3</t>
  </si>
  <si>
    <t>Class</t>
  </si>
  <si>
    <t>Hot</t>
  </si>
  <si>
    <t>East</t>
  </si>
  <si>
    <t>Low</t>
  </si>
  <si>
    <t>Y</t>
  </si>
  <si>
    <t>Mild</t>
  </si>
  <si>
    <t>West</t>
  </si>
  <si>
    <t>High</t>
  </si>
  <si>
    <t>Cool</t>
  </si>
  <si>
    <t>Middle</t>
  </si>
  <si>
    <t>N</t>
  </si>
  <si>
    <t>Total</t>
  </si>
  <si>
    <t>I(7,4)</t>
  </si>
  <si>
    <t>I(3,1)</t>
  </si>
  <si>
    <t>I(4,0)</t>
  </si>
  <si>
    <t>I(0,3)</t>
  </si>
  <si>
    <t>I(3,2)</t>
  </si>
  <si>
    <t>I(4,2)</t>
  </si>
  <si>
    <t>I(A1)</t>
  </si>
  <si>
    <t>Gain(A1)</t>
  </si>
  <si>
    <t>I(A2)</t>
  </si>
  <si>
    <t>Gain(A2)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</si>
</sst>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3079-34CE-4966-A7E0-8FDE41D09969}">
  <dimension ref="A1:M12"/>
  <sheetViews>
    <sheetView tabSelected="1" zoomScaleNormal="100" workbookViewId="0">
      <selection activeCell="F1" sqref="F1:F1048576"/>
    </sheetView>
  </sheetViews>
  <sheetFormatPr defaultRowHeight="14.5" x14ac:dyDescent="0.35"/>
  <cols>
    <col min="8" max="11" width="8.6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8</v>
      </c>
      <c r="I1" t="s">
        <v>14</v>
      </c>
      <c r="J1" t="s">
        <v>15</v>
      </c>
      <c r="K1" t="s">
        <v>8</v>
      </c>
      <c r="L1" t="s">
        <v>14</v>
      </c>
    </row>
    <row r="2" spans="1:13" x14ac:dyDescent="0.35">
      <c r="A2">
        <v>1</v>
      </c>
      <c r="B2" t="s">
        <v>5</v>
      </c>
      <c r="C2" t="s">
        <v>6</v>
      </c>
      <c r="D2" t="s">
        <v>7</v>
      </c>
      <c r="E2" t="s">
        <v>8</v>
      </c>
      <c r="G2" t="str" cm="1">
        <f t="array" ref="G2:G4">_xlfn.UNIQUE(B2:B12)</f>
        <v>Hot</v>
      </c>
      <c r="H2">
        <f>COUNTIFS($B$2:$B$12,$G2,$E$2:$E$12,H$1)</f>
        <v>3</v>
      </c>
      <c r="I2">
        <f>COUNTIFS($B$2:$B$12,$G2,$E$2:$E$12,I$1)</f>
        <v>1</v>
      </c>
      <c r="J2">
        <f>SUM(H2:I2)</f>
        <v>4</v>
      </c>
      <c r="K2" s="1">
        <f>H2/7</f>
        <v>0.42857142857142855</v>
      </c>
      <c r="L2" s="1">
        <f>I2/4</f>
        <v>0.25</v>
      </c>
      <c r="M2" t="s">
        <v>5</v>
      </c>
    </row>
    <row r="3" spans="1:13" x14ac:dyDescent="0.35">
      <c r="A3">
        <v>2</v>
      </c>
      <c r="B3" t="s">
        <v>9</v>
      </c>
      <c r="C3" t="s">
        <v>10</v>
      </c>
      <c r="D3" t="s">
        <v>11</v>
      </c>
      <c r="E3" t="s">
        <v>8</v>
      </c>
      <c r="G3" t="str">
        <v>Mild</v>
      </c>
      <c r="H3">
        <f>COUNTIFS($B$2:$B$12,$G3,$E$2:$E$12,H$1)</f>
        <v>4</v>
      </c>
      <c r="I3">
        <f>COUNTIFS($B$2:$B$12,$G3,$E$2:$E$12,I$1)</f>
        <v>0</v>
      </c>
      <c r="J3">
        <f>SUM(H3:I3)</f>
        <v>4</v>
      </c>
      <c r="K3" s="1">
        <f>H3/7</f>
        <v>0.5714285714285714</v>
      </c>
      <c r="L3" s="1">
        <f>I3/4</f>
        <v>0</v>
      </c>
      <c r="M3" t="s">
        <v>9</v>
      </c>
    </row>
    <row r="4" spans="1:13" x14ac:dyDescent="0.35">
      <c r="A4">
        <v>3</v>
      </c>
      <c r="B4" t="s">
        <v>12</v>
      </c>
      <c r="C4" t="s">
        <v>6</v>
      </c>
      <c r="D4" t="s">
        <v>13</v>
      </c>
      <c r="E4" t="s">
        <v>14</v>
      </c>
      <c r="G4" t="str">
        <v>Cool</v>
      </c>
      <c r="H4">
        <f>COUNTIFS($B$2:$B$12,$G4,$E$2:$E$12,H$1)</f>
        <v>0</v>
      </c>
      <c r="I4">
        <f>COUNTIFS($B$2:$B$12,$G4,$E$2:$E$12,I$1)</f>
        <v>3</v>
      </c>
      <c r="J4">
        <f>SUM(H4:I4)</f>
        <v>3</v>
      </c>
      <c r="K4" s="1">
        <f>H4/7</f>
        <v>0</v>
      </c>
      <c r="L4" s="1">
        <f>I4/4</f>
        <v>0.75</v>
      </c>
      <c r="M4" t="s">
        <v>12</v>
      </c>
    </row>
    <row r="5" spans="1:13" x14ac:dyDescent="0.35">
      <c r="A5">
        <v>4</v>
      </c>
      <c r="B5" t="s">
        <v>9</v>
      </c>
      <c r="C5" t="s">
        <v>10</v>
      </c>
      <c r="D5" t="s">
        <v>7</v>
      </c>
      <c r="E5" t="s">
        <v>8</v>
      </c>
      <c r="G5" t="s">
        <v>15</v>
      </c>
      <c r="H5">
        <f>SUM(H2:H4)</f>
        <v>7</v>
      </c>
      <c r="I5">
        <f>SUM(I2:I4)</f>
        <v>4</v>
      </c>
      <c r="J5">
        <f>SUM(H5:I5)</f>
        <v>11</v>
      </c>
      <c r="K5" s="1"/>
      <c r="L5" s="1"/>
    </row>
    <row r="6" spans="1:13" x14ac:dyDescent="0.35">
      <c r="A6">
        <v>5</v>
      </c>
      <c r="B6" t="s">
        <v>5</v>
      </c>
      <c r="C6" t="s">
        <v>6</v>
      </c>
      <c r="D6" t="s">
        <v>13</v>
      </c>
      <c r="E6" t="s">
        <v>8</v>
      </c>
      <c r="G6" t="str" cm="1">
        <f t="array" ref="G6:G7">_xlfn.UNIQUE(C2:C12)</f>
        <v>East</v>
      </c>
      <c r="H6">
        <f>COUNTIFS($C$2:$C$12,$G6,$E$2:$E$12,H$1)</f>
        <v>3</v>
      </c>
      <c r="I6">
        <f>COUNTIFS($C$2:$C$12,$G6,$E$2:$E$12,I$1)</f>
        <v>2</v>
      </c>
      <c r="J6">
        <f>SUM(H6:I6)</f>
        <v>5</v>
      </c>
      <c r="K6" s="1">
        <f>H6/7</f>
        <v>0.42857142857142855</v>
      </c>
      <c r="L6" s="1">
        <f>I6/4</f>
        <v>0.5</v>
      </c>
      <c r="M6" t="s">
        <v>6</v>
      </c>
    </row>
    <row r="7" spans="1:13" x14ac:dyDescent="0.35">
      <c r="A7">
        <v>6</v>
      </c>
      <c r="B7" t="s">
        <v>12</v>
      </c>
      <c r="C7" t="s">
        <v>10</v>
      </c>
      <c r="D7" t="s">
        <v>13</v>
      </c>
      <c r="E7" t="s">
        <v>14</v>
      </c>
      <c r="G7" t="str">
        <v>West</v>
      </c>
      <c r="H7">
        <f>COUNTIFS($C$2:$C$12,$G7,$E$2:$E$12,H$1)</f>
        <v>4</v>
      </c>
      <c r="I7">
        <f>COUNTIFS($C$2:$C$12,$G7,$E$2:$E$12,I$1)</f>
        <v>2</v>
      </c>
      <c r="J7">
        <f>SUM(H7:I7)</f>
        <v>6</v>
      </c>
      <c r="K7" s="1">
        <f>H7/7</f>
        <v>0.5714285714285714</v>
      </c>
      <c r="L7" s="1">
        <f>I7/4</f>
        <v>0.5</v>
      </c>
      <c r="M7" t="s">
        <v>10</v>
      </c>
    </row>
    <row r="8" spans="1:13" x14ac:dyDescent="0.35">
      <c r="A8">
        <v>7</v>
      </c>
      <c r="B8" t="s">
        <v>5</v>
      </c>
      <c r="C8" t="s">
        <v>6</v>
      </c>
      <c r="D8" t="s">
        <v>11</v>
      </c>
      <c r="E8" t="s">
        <v>8</v>
      </c>
      <c r="G8" t="s">
        <v>15</v>
      </c>
      <c r="H8">
        <f>SUM(H6:H7)</f>
        <v>7</v>
      </c>
      <c r="I8">
        <f>SUM(I6:I7)</f>
        <v>4</v>
      </c>
      <c r="J8">
        <f>SUM(H8:I8)</f>
        <v>11</v>
      </c>
      <c r="K8" s="1"/>
      <c r="L8" s="1"/>
    </row>
    <row r="9" spans="1:13" x14ac:dyDescent="0.35">
      <c r="A9">
        <v>8</v>
      </c>
      <c r="B9" t="s">
        <v>9</v>
      </c>
      <c r="C9" t="s">
        <v>10</v>
      </c>
      <c r="D9" t="s">
        <v>7</v>
      </c>
      <c r="E9" t="s">
        <v>8</v>
      </c>
      <c r="G9" t="str" cm="1">
        <f t="array" ref="G9:G11">_xlfn.UNIQUE(D2:D12)</f>
        <v>Low</v>
      </c>
      <c r="H9">
        <f>COUNTIFS($D$2:$D$12,$G9,$E$2:$E$12,H$1)</f>
        <v>3</v>
      </c>
      <c r="I9">
        <f>COUNTIFS($D$2:$D$12,$G9,$E$2:$E$12,I$1)</f>
        <v>1</v>
      </c>
      <c r="J9">
        <f>SUM(H9:I9)</f>
        <v>4</v>
      </c>
      <c r="K9" s="1">
        <f>H9/7</f>
        <v>0.42857142857142855</v>
      </c>
      <c r="L9" s="1">
        <f>I9/4</f>
        <v>0.25</v>
      </c>
      <c r="M9" t="s">
        <v>7</v>
      </c>
    </row>
    <row r="10" spans="1:13" x14ac:dyDescent="0.35">
      <c r="A10">
        <v>9</v>
      </c>
      <c r="B10" t="s">
        <v>5</v>
      </c>
      <c r="C10" t="s">
        <v>6</v>
      </c>
      <c r="D10" t="s">
        <v>7</v>
      </c>
      <c r="E10" t="s">
        <v>14</v>
      </c>
      <c r="G10" t="str">
        <v>High</v>
      </c>
      <c r="H10">
        <f>COUNTIFS($D$2:$D$12,$G10,$E$2:$E$12,H$1)</f>
        <v>2</v>
      </c>
      <c r="I10">
        <f>COUNTIFS($D$2:$D$12,$G10,$E$2:$E$12,I$1)</f>
        <v>1</v>
      </c>
      <c r="J10">
        <f>SUM(H10:I10)</f>
        <v>3</v>
      </c>
      <c r="K10" s="1">
        <f>H10/7</f>
        <v>0.2857142857142857</v>
      </c>
      <c r="L10" s="1">
        <f>I10/4</f>
        <v>0.25</v>
      </c>
      <c r="M10" t="s">
        <v>11</v>
      </c>
    </row>
    <row r="11" spans="1:13" x14ac:dyDescent="0.35">
      <c r="A11">
        <v>10</v>
      </c>
      <c r="B11" t="s">
        <v>12</v>
      </c>
      <c r="C11" t="s">
        <v>10</v>
      </c>
      <c r="D11" t="s">
        <v>11</v>
      </c>
      <c r="E11" t="s">
        <v>14</v>
      </c>
      <c r="G11" t="str">
        <v>Middle</v>
      </c>
      <c r="H11">
        <f>COUNTIFS($D$2:$D$12,$G11,$E$2:$E$12,H$1)</f>
        <v>2</v>
      </c>
      <c r="I11">
        <f>COUNTIFS($D$2:$D$12,$G11,$E$2:$E$12,I$1)</f>
        <v>2</v>
      </c>
      <c r="J11">
        <f>SUM(H11:I11)</f>
        <v>4</v>
      </c>
      <c r="K11" s="1">
        <f>H11/7</f>
        <v>0.2857142857142857</v>
      </c>
      <c r="L11" s="1">
        <f>I11/4</f>
        <v>0.5</v>
      </c>
      <c r="M11" t="s">
        <v>13</v>
      </c>
    </row>
    <row r="12" spans="1:13" x14ac:dyDescent="0.35">
      <c r="A12">
        <v>11</v>
      </c>
      <c r="B12" t="s">
        <v>9</v>
      </c>
      <c r="C12" t="s">
        <v>10</v>
      </c>
      <c r="D12" t="s">
        <v>13</v>
      </c>
      <c r="E12" t="s">
        <v>8</v>
      </c>
      <c r="G12" t="s">
        <v>15</v>
      </c>
      <c r="H12">
        <f>SUM(H9:H11)</f>
        <v>7</v>
      </c>
      <c r="I12">
        <f>SUM(I9:I11)</f>
        <v>4</v>
      </c>
      <c r="J12">
        <f>SUM(H12:I12)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5710-D8AE-45E1-92A8-36DB15563254}">
  <dimension ref="A1:L25"/>
  <sheetViews>
    <sheetView workbookViewId="0">
      <selection activeCell="H20" sqref="H2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4</v>
      </c>
      <c r="G1" t="s">
        <v>8</v>
      </c>
      <c r="H1" t="s">
        <v>14</v>
      </c>
      <c r="I1" t="s">
        <v>15</v>
      </c>
      <c r="J1" t="s">
        <v>8</v>
      </c>
      <c r="K1" t="s">
        <v>14</v>
      </c>
    </row>
    <row r="2" spans="1:12" x14ac:dyDescent="0.35">
      <c r="A2">
        <v>1</v>
      </c>
      <c r="B2" t="s">
        <v>5</v>
      </c>
      <c r="C2" t="s">
        <v>6</v>
      </c>
      <c r="D2" t="s">
        <v>8</v>
      </c>
      <c r="F2" t="str" cm="1">
        <f t="array" ref="F2:F4">_xlfn.UNIQUE(B2:B12)</f>
        <v>Hot</v>
      </c>
      <c r="G2">
        <f>COUNTIFS($B$2:$B$12,$F2,$D$2:$D$12,'P1'!H$1)</f>
        <v>3</v>
      </c>
      <c r="H2">
        <f>COUNTIFS($B$2:$B$12,$F2,$D$2:$D$12,'P1'!I$1)</f>
        <v>1</v>
      </c>
      <c r="I2">
        <f>SUM(G2:H2)</f>
        <v>4</v>
      </c>
      <c r="J2" s="1">
        <f>G2/7</f>
        <v>0.42857142857142855</v>
      </c>
      <c r="K2" s="1">
        <f>H2/4</f>
        <v>0.25</v>
      </c>
      <c r="L2" t="s">
        <v>5</v>
      </c>
    </row>
    <row r="3" spans="1:12" x14ac:dyDescent="0.35">
      <c r="A3">
        <v>2</v>
      </c>
      <c r="B3" t="s">
        <v>9</v>
      </c>
      <c r="C3" t="s">
        <v>10</v>
      </c>
      <c r="D3" t="s">
        <v>8</v>
      </c>
      <c r="F3" t="str">
        <v>Mild</v>
      </c>
      <c r="G3">
        <f>COUNTIFS($B$2:$B$12,$F3,$D$2:$D$12,'P1'!H$1)</f>
        <v>4</v>
      </c>
      <c r="H3">
        <f>COUNTIFS($B$2:$B$12,$F3,$D$2:$D$12,'P1'!I$1)</f>
        <v>0</v>
      </c>
      <c r="I3">
        <f>SUM(G3:H3)</f>
        <v>4</v>
      </c>
      <c r="J3" s="1">
        <f>G3/7</f>
        <v>0.5714285714285714</v>
      </c>
      <c r="K3" s="1">
        <f>H3/4</f>
        <v>0</v>
      </c>
      <c r="L3" t="s">
        <v>9</v>
      </c>
    </row>
    <row r="4" spans="1:12" x14ac:dyDescent="0.35">
      <c r="A4">
        <v>3</v>
      </c>
      <c r="B4" t="s">
        <v>12</v>
      </c>
      <c r="C4" t="s">
        <v>6</v>
      </c>
      <c r="D4" t="s">
        <v>14</v>
      </c>
      <c r="F4" t="str">
        <v>Cool</v>
      </c>
      <c r="G4">
        <f>COUNTIFS($B$2:$B$12,$F4,$D$2:$D$12,'P1'!H$1)</f>
        <v>0</v>
      </c>
      <c r="H4">
        <f>COUNTIFS($B$2:$B$12,$F4,$D$2:$D$12,'P1'!I$1)</f>
        <v>3</v>
      </c>
      <c r="I4">
        <f>SUM(G4:H4)</f>
        <v>3</v>
      </c>
      <c r="J4" s="1">
        <f>G4/7</f>
        <v>0</v>
      </c>
      <c r="K4" s="1">
        <f>H4/4</f>
        <v>0.75</v>
      </c>
      <c r="L4" t="s">
        <v>12</v>
      </c>
    </row>
    <row r="5" spans="1:12" x14ac:dyDescent="0.35">
      <c r="A5">
        <v>4</v>
      </c>
      <c r="B5" t="s">
        <v>9</v>
      </c>
      <c r="C5" t="s">
        <v>10</v>
      </c>
      <c r="D5" t="s">
        <v>8</v>
      </c>
      <c r="F5" t="s">
        <v>15</v>
      </c>
      <c r="G5">
        <f>SUM(G2:G4)</f>
        <v>7</v>
      </c>
      <c r="H5">
        <f>SUM(H2:H4)</f>
        <v>4</v>
      </c>
      <c r="I5">
        <f>SUM(G5:H5)</f>
        <v>11</v>
      </c>
      <c r="J5" s="1"/>
      <c r="K5" s="1"/>
    </row>
    <row r="6" spans="1:12" x14ac:dyDescent="0.35">
      <c r="A6">
        <v>5</v>
      </c>
      <c r="B6" t="s">
        <v>5</v>
      </c>
      <c r="C6" t="s">
        <v>6</v>
      </c>
      <c r="D6" t="s">
        <v>8</v>
      </c>
      <c r="F6" t="str" cm="1">
        <f t="array" ref="F6:F7">_xlfn.UNIQUE(C2:C12)</f>
        <v>East</v>
      </c>
      <c r="G6">
        <f>COUNTIFS($C$2:$C$12,$F6,$D$2:$D$12,'P1'!H$1)</f>
        <v>3</v>
      </c>
      <c r="H6">
        <f>COUNTIFS($C$2:$C$12,$F6,$D$2:$D$12,'P1'!I$1)</f>
        <v>2</v>
      </c>
      <c r="I6">
        <f>SUM(G6:H6)</f>
        <v>5</v>
      </c>
      <c r="J6" s="1">
        <f>G6/7</f>
        <v>0.42857142857142855</v>
      </c>
      <c r="K6" s="1">
        <f>H6/4</f>
        <v>0.5</v>
      </c>
      <c r="L6" t="s">
        <v>6</v>
      </c>
    </row>
    <row r="7" spans="1:12" x14ac:dyDescent="0.35">
      <c r="A7">
        <v>6</v>
      </c>
      <c r="B7" t="s">
        <v>12</v>
      </c>
      <c r="C7" t="s">
        <v>10</v>
      </c>
      <c r="D7" t="s">
        <v>14</v>
      </c>
      <c r="F7" t="str">
        <v>West</v>
      </c>
      <c r="G7">
        <f>COUNTIFS($C$2:$C$12,$F7,$D$2:$D$12,'P1'!H$1)</f>
        <v>4</v>
      </c>
      <c r="H7">
        <f>COUNTIFS($C$2:$C$12,$F7,$D$2:$D$12,'P1'!I$1)</f>
        <v>2</v>
      </c>
      <c r="I7">
        <f>SUM(G7:H7)</f>
        <v>6</v>
      </c>
      <c r="J7" s="1">
        <f>G7/7</f>
        <v>0.5714285714285714</v>
      </c>
      <c r="K7" s="1">
        <f>H7/4</f>
        <v>0.5</v>
      </c>
      <c r="L7" t="s">
        <v>10</v>
      </c>
    </row>
    <row r="8" spans="1:12" x14ac:dyDescent="0.35">
      <c r="A8">
        <v>7</v>
      </c>
      <c r="B8" t="s">
        <v>5</v>
      </c>
      <c r="C8" t="s">
        <v>6</v>
      </c>
      <c r="D8" t="s">
        <v>8</v>
      </c>
      <c r="F8" t="s">
        <v>15</v>
      </c>
      <c r="G8">
        <f>SUM(G6:G7)</f>
        <v>7</v>
      </c>
      <c r="H8">
        <f>SUM(H6:H7)</f>
        <v>4</v>
      </c>
      <c r="I8">
        <f>SUM(G8:H8)</f>
        <v>11</v>
      </c>
      <c r="J8" s="1"/>
      <c r="K8" s="1"/>
    </row>
    <row r="9" spans="1:12" x14ac:dyDescent="0.35">
      <c r="A9">
        <v>8</v>
      </c>
      <c r="B9" t="s">
        <v>9</v>
      </c>
      <c r="C9" t="s">
        <v>10</v>
      </c>
      <c r="D9" t="s">
        <v>8</v>
      </c>
      <c r="J9" s="1"/>
      <c r="K9" s="1"/>
    </row>
    <row r="10" spans="1:12" x14ac:dyDescent="0.35">
      <c r="A10">
        <v>9</v>
      </c>
      <c r="B10" t="s">
        <v>5</v>
      </c>
      <c r="C10" t="s">
        <v>6</v>
      </c>
      <c r="D10" t="s">
        <v>14</v>
      </c>
      <c r="J10" s="1"/>
      <c r="K10" s="1"/>
    </row>
    <row r="11" spans="1:12" x14ac:dyDescent="0.35">
      <c r="A11">
        <v>10</v>
      </c>
      <c r="B11" t="s">
        <v>12</v>
      </c>
      <c r="C11" t="s">
        <v>10</v>
      </c>
      <c r="D11" t="s">
        <v>14</v>
      </c>
      <c r="J11" s="1"/>
      <c r="K11" s="1"/>
    </row>
    <row r="12" spans="1:12" x14ac:dyDescent="0.35">
      <c r="A12">
        <v>11</v>
      </c>
      <c r="B12" t="s">
        <v>9</v>
      </c>
      <c r="C12" t="s">
        <v>10</v>
      </c>
      <c r="D12" t="s">
        <v>8</v>
      </c>
    </row>
    <row r="15" spans="1:12" x14ac:dyDescent="0.35">
      <c r="A15" t="s">
        <v>16</v>
      </c>
      <c r="B15">
        <v>7</v>
      </c>
      <c r="C15">
        <v>4</v>
      </c>
      <c r="D15" s="1">
        <f>-(B15/(B15+C15)*LOG(B15/(B15+C15),2)+C15/(B15+C15)*LOG(C15/(B15+C15),2))</f>
        <v>0.94566030460064021</v>
      </c>
    </row>
    <row r="16" spans="1:12" x14ac:dyDescent="0.35">
      <c r="A16" t="s">
        <v>17</v>
      </c>
      <c r="B16">
        <v>3</v>
      </c>
      <c r="C16">
        <v>1</v>
      </c>
      <c r="D16" s="1">
        <f t="shared" ref="D16" si="0">-(B16/(B16+C16)*LOG(B16/(B16+C16),2)+C16/(B16+C16)*LOG(C16/(B16+C16),2))</f>
        <v>0.81127812445913283</v>
      </c>
    </row>
    <row r="17" spans="1:4" x14ac:dyDescent="0.35">
      <c r="A17" t="s">
        <v>18</v>
      </c>
      <c r="B17">
        <v>4</v>
      </c>
      <c r="C17">
        <v>0</v>
      </c>
      <c r="D17" s="1">
        <v>0</v>
      </c>
    </row>
    <row r="18" spans="1:4" x14ac:dyDescent="0.35">
      <c r="A18" t="s">
        <v>19</v>
      </c>
      <c r="B18">
        <v>0</v>
      </c>
      <c r="C18">
        <v>3</v>
      </c>
      <c r="D18" s="1">
        <v>0</v>
      </c>
    </row>
    <row r="19" spans="1:4" x14ac:dyDescent="0.35">
      <c r="A19" t="s">
        <v>22</v>
      </c>
      <c r="D19" s="1">
        <f>SUM(B16:C16)/SUM(B15:C15)*D16+SUM(B17:C17)/SUM(B15:C15)*D17+SUM(B18:C18)/SUM(B15:C15)*D18</f>
        <v>0.29501022707604829</v>
      </c>
    </row>
    <row r="20" spans="1:4" x14ac:dyDescent="0.35">
      <c r="A20" t="s">
        <v>23</v>
      </c>
      <c r="D20" s="1">
        <f>D15-D19</f>
        <v>0.65065007752459192</v>
      </c>
    </row>
    <row r="21" spans="1:4" x14ac:dyDescent="0.35">
      <c r="A21" t="s">
        <v>16</v>
      </c>
      <c r="B21">
        <v>7</v>
      </c>
      <c r="C21">
        <v>4</v>
      </c>
      <c r="D21" s="1">
        <f>-(B21/(B21+C21)*LOG(B21/(B21+C21),2)+C21/(B21+C21)*LOG(C21/(B21+C21),2))</f>
        <v>0.94566030460064021</v>
      </c>
    </row>
    <row r="22" spans="1:4" x14ac:dyDescent="0.35">
      <c r="A22" t="s">
        <v>20</v>
      </c>
      <c r="B22">
        <v>3</v>
      </c>
      <c r="C22">
        <v>2</v>
      </c>
      <c r="D22" s="1">
        <f t="shared" ref="D22:D23" si="1">-(B22/(B22+C22)*LOG(B22/(B22+C22),2)+C22/(B22+C22)*LOG(C22/(B22+C22),2))</f>
        <v>0.97095059445466858</v>
      </c>
    </row>
    <row r="23" spans="1:4" x14ac:dyDescent="0.35">
      <c r="A23" t="s">
        <v>21</v>
      </c>
      <c r="B23">
        <v>4</v>
      </c>
      <c r="C23">
        <v>2</v>
      </c>
      <c r="D23" s="1">
        <f t="shared" si="1"/>
        <v>0.91829583405448956</v>
      </c>
    </row>
    <row r="24" spans="1:4" x14ac:dyDescent="0.35">
      <c r="A24" t="s">
        <v>24</v>
      </c>
      <c r="D24" s="1">
        <f>SUM(B22:C22)/SUM(B21:C21)*D22+SUM(B23:C23)/SUM(B21:C21)*D23</f>
        <v>0.94222981605457079</v>
      </c>
    </row>
    <row r="25" spans="1:4" x14ac:dyDescent="0.35">
      <c r="A25" t="s">
        <v>25</v>
      </c>
      <c r="D25" s="1">
        <f>D21-D24</f>
        <v>3.4304885460694212E-3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2024-02-14T21:21:08Z</dcterms:created>
  <dcterms:modified xsi:type="dcterms:W3CDTF">2024-02-21T14:45:41Z</dcterms:modified>
</cp:coreProperties>
</file>