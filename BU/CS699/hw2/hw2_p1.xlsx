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699/"/>
    </mc:Choice>
  </mc:AlternateContent>
  <xr:revisionPtr revIDLastSave="0" documentId="13_ncr:40009_{D50CD0C1-F6C7-464C-A4C8-ADFBB9B95278}" xr6:coauthVersionLast="47" xr6:coauthVersionMax="47" xr10:uidLastSave="{00000000-0000-0000-0000-000000000000}"/>
  <bookViews>
    <workbookView xWindow="-28920" yWindow="-120" windowWidth="29040" windowHeight="15840"/>
  </bookViews>
  <sheets>
    <sheet name="hw2_p1" sheetId="1" r:id="rId1"/>
  </sheets>
  <calcPr calcId="0"/>
</workbook>
</file>

<file path=xl/calcChain.xml><?xml version="1.0" encoding="utf-8"?>
<calcChain xmlns="http://schemas.openxmlformats.org/spreadsheetml/2006/main">
  <c r="W38" i="1" l="1"/>
  <c r="V38" i="1"/>
  <c r="Q38" i="1"/>
  <c r="R38" i="1"/>
  <c r="S38" i="1"/>
  <c r="T38" i="1"/>
  <c r="P38" i="1"/>
  <c r="O38" i="1"/>
  <c r="W37" i="1"/>
  <c r="V37" i="1"/>
  <c r="V35" i="1"/>
  <c r="V34" i="1"/>
  <c r="V31" i="1"/>
  <c r="V32" i="1"/>
  <c r="V30" i="1"/>
  <c r="V28" i="1"/>
  <c r="V27" i="1"/>
  <c r="V25" i="1"/>
  <c r="T37" i="1"/>
  <c r="Q37" i="1"/>
  <c r="R37" i="1"/>
  <c r="S37" i="1"/>
  <c r="P37" i="1"/>
  <c r="O37" i="1"/>
  <c r="O35" i="1"/>
  <c r="O34" i="1"/>
  <c r="L2" i="1" a="1"/>
  <c r="L2" i="1" s="1"/>
  <c r="P20" i="1"/>
  <c r="Q20" i="1"/>
  <c r="R20" i="1"/>
  <c r="S20" i="1"/>
  <c r="T20" i="1"/>
  <c r="U20" i="1"/>
  <c r="V20" i="1"/>
  <c r="W20" i="1"/>
  <c r="X20" i="1"/>
  <c r="O20" i="1"/>
  <c r="P19" i="1"/>
  <c r="Q19" i="1"/>
  <c r="R19" i="1"/>
  <c r="S19" i="1"/>
  <c r="T19" i="1"/>
  <c r="U19" i="1"/>
  <c r="V19" i="1"/>
  <c r="W19" i="1"/>
  <c r="X19" i="1"/>
  <c r="O19" i="1"/>
  <c r="P18" i="1"/>
  <c r="Q18" i="1"/>
  <c r="R18" i="1"/>
  <c r="S18" i="1"/>
  <c r="T18" i="1"/>
  <c r="U18" i="1"/>
  <c r="V18" i="1"/>
  <c r="W18" i="1"/>
  <c r="X18" i="1"/>
  <c r="O18" i="1"/>
  <c r="O16" i="1"/>
  <c r="P16" i="1"/>
  <c r="Y16" i="1" s="1"/>
  <c r="Z16" i="1" s="1"/>
  <c r="Q16" i="1"/>
  <c r="R16" i="1"/>
  <c r="S16" i="1"/>
  <c r="T16" i="1"/>
  <c r="U16" i="1"/>
  <c r="V16" i="1"/>
  <c r="W16" i="1"/>
  <c r="X16" i="1"/>
  <c r="P15" i="1"/>
  <c r="Q15" i="1"/>
  <c r="R15" i="1"/>
  <c r="S15" i="1"/>
  <c r="T15" i="1"/>
  <c r="U15" i="1"/>
  <c r="V15" i="1"/>
  <c r="W15" i="1"/>
  <c r="X15" i="1"/>
  <c r="O15" i="1"/>
  <c r="P14" i="1"/>
  <c r="Q14" i="1"/>
  <c r="R14" i="1"/>
  <c r="S14" i="1"/>
  <c r="T14" i="1"/>
  <c r="U14" i="1"/>
  <c r="V14" i="1"/>
  <c r="W14" i="1"/>
  <c r="X14" i="1"/>
  <c r="O14" i="1"/>
  <c r="P4" i="1"/>
  <c r="Q4" i="1"/>
  <c r="R4" i="1"/>
  <c r="O4" i="1"/>
  <c r="K2" i="1" a="1"/>
  <c r="K2" i="1" s="1"/>
  <c r="H6" i="1"/>
  <c r="I3" i="1"/>
  <c r="H5" i="1"/>
  <c r="H4" i="1"/>
  <c r="H3" i="1"/>
  <c r="H2" i="1"/>
  <c r="Y14" i="1" l="1"/>
  <c r="Y15" i="1"/>
  <c r="Z15" i="1" s="1"/>
  <c r="S4" i="1"/>
  <c r="Z17" i="1"/>
  <c r="Y18" i="1"/>
  <c r="Y20" i="1"/>
  <c r="Z20" i="1" s="1"/>
  <c r="Y19" i="1"/>
  <c r="Z19" i="1" s="1"/>
  <c r="Z2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<sst xmlns="http://schemas.openxmlformats.org/spreadsheetml/2006/main" count="111" uniqueCount="49">
  <si>
    <t>temp</t>
  </si>
  <si>
    <t>RH</t>
  </si>
  <si>
    <t>wind</t>
  </si>
  <si>
    <t>rain</t>
  </si>
  <si>
    <t>area</t>
  </si>
  <si>
    <t>OID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</si>
  <si>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</si>
  <si>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</si>
  <si>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</si>
  <si>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</si>
  <si>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</si>
  <si>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</si>
  <si>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</si>
  <si>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</si>
  <si>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</si>
  <si>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</si>
  <si>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O1</t>
  </si>
  <si>
    <t>O2</t>
  </si>
  <si>
    <t>O3</t>
  </si>
  <si>
    <t>O1*O2</t>
  </si>
  <si>
    <t>mean</t>
  </si>
  <si>
    <t>stdev</t>
  </si>
  <si>
    <t>min</t>
  </si>
  <si>
    <t>max</t>
  </si>
  <si>
    <t>count</t>
  </si>
  <si>
    <t>P3</t>
  </si>
  <si>
    <t>O4</t>
  </si>
  <si>
    <t>O5</t>
  </si>
  <si>
    <t>O6</t>
  </si>
  <si>
    <t>O7</t>
  </si>
  <si>
    <t>O8</t>
  </si>
  <si>
    <t>O9</t>
  </si>
  <si>
    <t>distance</t>
  </si>
  <si>
    <t>P4</t>
  </si>
  <si>
    <t>O1*O3</t>
  </si>
  <si>
    <t>cosine</t>
  </si>
  <si>
    <t>P5</t>
  </si>
  <si>
    <t>Object ID</t>
  </si>
  <si>
    <t>No</t>
  </si>
  <si>
    <t>Yes</t>
  </si>
  <si>
    <t>Low</t>
  </si>
  <si>
    <t>cool</t>
  </si>
  <si>
    <t>High</t>
  </si>
  <si>
    <t>hot</t>
  </si>
  <si>
    <t>Middle</t>
  </si>
  <si>
    <t>mild</t>
  </si>
  <si>
    <t>O1-O2</t>
  </si>
  <si>
    <t>A7 (num)</t>
  </si>
  <si>
    <t>O1-O3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</si>
</sst>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onsolas"/>
      <family val="2"/>
    </font>
    <font>
      <sz val="11"/>
      <color theme="1"/>
      <name val="Consolas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onsolas"/>
      <family val="2"/>
    </font>
    <font>
      <b/>
      <sz val="13"/>
      <color theme="3"/>
      <name val="Consolas"/>
      <family val="2"/>
    </font>
    <font>
      <b/>
      <sz val="11"/>
      <color theme="3"/>
      <name val="Consolas"/>
      <family val="2"/>
    </font>
    <font>
      <sz val="11"/>
      <color rgb="FF006100"/>
      <name val="Consolas"/>
      <family val="2"/>
    </font>
    <font>
      <sz val="11"/>
      <color rgb="FF9C0006"/>
      <name val="Consolas"/>
      <family val="2"/>
    </font>
    <font>
      <sz val="11"/>
      <color rgb="FF9C5700"/>
      <name val="Consolas"/>
      <family val="2"/>
    </font>
    <font>
      <sz val="11"/>
      <color rgb="FF3F3F76"/>
      <name val="Consolas"/>
      <family val="2"/>
    </font>
    <font>
      <b/>
      <sz val="11"/>
      <color rgb="FF3F3F3F"/>
      <name val="Consolas"/>
      <family val="2"/>
    </font>
    <font>
      <b/>
      <sz val="11"/>
      <color rgb="FFFA7D00"/>
      <name val="Consolas"/>
      <family val="2"/>
    </font>
    <font>
      <sz val="11"/>
      <color rgb="FFFA7D00"/>
      <name val="Consolas"/>
      <family val="2"/>
    </font>
    <font>
      <b/>
      <sz val="11"/>
      <color theme="0"/>
      <name val="Consolas"/>
      <family val="2"/>
    </font>
    <font>
      <sz val="11"/>
      <color rgb="FFFF0000"/>
      <name val="Consolas"/>
      <family val="2"/>
    </font>
    <font>
      <i/>
      <sz val="11"/>
      <color rgb="FF7F7F7F"/>
      <name val="Consolas"/>
      <family val="2"/>
    </font>
    <font>
      <b/>
      <sz val="11"/>
      <color theme="1"/>
      <name val="Consolas"/>
      <family val="2"/>
    </font>
    <font>
      <sz val="11"/>
      <color theme="0"/>
      <name val="Consola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tabSelected="1" topLeftCell="C10" workbookViewId="0">
      <selection activeCell="X27" sqref="X27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K1" t="s">
        <v>0</v>
      </c>
      <c r="L1" t="s">
        <v>2</v>
      </c>
      <c r="N1" t="s">
        <v>25</v>
      </c>
      <c r="O1" t="s">
        <v>6</v>
      </c>
      <c r="P1" t="s">
        <v>7</v>
      </c>
      <c r="Q1" t="s">
        <v>8</v>
      </c>
      <c r="R1" t="s">
        <v>9</v>
      </c>
    </row>
    <row r="2" spans="1:26" x14ac:dyDescent="0.25">
      <c r="A2">
        <v>4.5999999999999996</v>
      </c>
      <c r="B2">
        <v>82</v>
      </c>
      <c r="C2">
        <v>6.3</v>
      </c>
      <c r="D2">
        <v>0</v>
      </c>
      <c r="E2">
        <v>1.8547342680000001</v>
      </c>
      <c r="G2" t="s">
        <v>20</v>
      </c>
      <c r="H2">
        <f>AVERAGE(C2:C51)</f>
        <v>4.4619999999999997</v>
      </c>
      <c r="J2">
        <v>1</v>
      </c>
      <c r="K2" cm="1">
        <f t="array" ref="K2:K51">_xlfn._xlws.SORT(A2:A51)</f>
        <v>1.2</v>
      </c>
      <c r="L2" cm="1">
        <f t="array" ref="L2:L51">_xlfn._xlws.SORT(C2:C51)</f>
        <v>0.9</v>
      </c>
      <c r="N2" t="s">
        <v>16</v>
      </c>
      <c r="O2">
        <v>0.5</v>
      </c>
      <c r="P2">
        <v>0</v>
      </c>
      <c r="Q2">
        <v>0.5</v>
      </c>
      <c r="R2">
        <v>1</v>
      </c>
    </row>
    <row r="3" spans="1:26" x14ac:dyDescent="0.25">
      <c r="A3">
        <v>4.5999999999999996</v>
      </c>
      <c r="B3">
        <v>59</v>
      </c>
      <c r="C3">
        <v>0.9</v>
      </c>
      <c r="D3">
        <v>0</v>
      </c>
      <c r="E3">
        <v>2.0592388339999999</v>
      </c>
      <c r="G3" t="s">
        <v>21</v>
      </c>
      <c r="H3">
        <f>_xlfn.STDEV.P(C2:C51)</f>
        <v>1.887738329324276</v>
      </c>
      <c r="I3">
        <f>_xlfn.STDEV.S(C2:C51)</f>
        <v>1.9069036768156564</v>
      </c>
      <c r="J3">
        <v>2</v>
      </c>
      <c r="K3">
        <v>2.1</v>
      </c>
      <c r="L3">
        <v>1.3</v>
      </c>
      <c r="N3" t="s">
        <v>17</v>
      </c>
      <c r="O3">
        <v>0.75</v>
      </c>
      <c r="P3">
        <v>1</v>
      </c>
      <c r="Q3">
        <v>0</v>
      </c>
      <c r="R3">
        <v>0.33</v>
      </c>
    </row>
    <row r="4" spans="1:26" x14ac:dyDescent="0.25">
      <c r="A4">
        <v>5.0999999999999996</v>
      </c>
      <c r="B4">
        <v>77</v>
      </c>
      <c r="C4">
        <v>5.4</v>
      </c>
      <c r="D4">
        <v>0</v>
      </c>
      <c r="E4">
        <v>1.1442228000000001</v>
      </c>
      <c r="G4" t="s">
        <v>22</v>
      </c>
      <c r="H4">
        <f>MIN(C2:C51)</f>
        <v>0.9</v>
      </c>
      <c r="J4">
        <v>3</v>
      </c>
      <c r="K4">
        <v>4.5999999999999996</v>
      </c>
      <c r="L4">
        <v>1.3</v>
      </c>
      <c r="N4" t="s">
        <v>32</v>
      </c>
      <c r="O4">
        <f>(O2-O3)^2</f>
        <v>6.25E-2</v>
      </c>
      <c r="P4">
        <f t="shared" ref="P4:R4" si="0">(P2-P3)^2</f>
        <v>1</v>
      </c>
      <c r="Q4">
        <f t="shared" si="0"/>
        <v>0.25</v>
      </c>
      <c r="R4">
        <f t="shared" si="0"/>
        <v>0.44889999999999991</v>
      </c>
      <c r="S4">
        <f>SQRT(SUM(O4:R4))</f>
        <v>1.3271774561075094</v>
      </c>
    </row>
    <row r="5" spans="1:26" x14ac:dyDescent="0.25">
      <c r="A5">
        <v>10.199999999999999</v>
      </c>
      <c r="B5">
        <v>45</v>
      </c>
      <c r="C5">
        <v>5.8</v>
      </c>
      <c r="D5">
        <v>0</v>
      </c>
      <c r="E5">
        <v>1.4303112469999999</v>
      </c>
      <c r="G5" t="s">
        <v>23</v>
      </c>
      <c r="H5">
        <f>MAX(C2:C51)</f>
        <v>9.4</v>
      </c>
      <c r="J5">
        <v>4</v>
      </c>
      <c r="K5">
        <v>4.5999999999999996</v>
      </c>
      <c r="L5">
        <v>1.8</v>
      </c>
    </row>
    <row r="6" spans="1:26" x14ac:dyDescent="0.25">
      <c r="A6">
        <v>11.2</v>
      </c>
      <c r="B6">
        <v>41</v>
      </c>
      <c r="C6">
        <v>5.4</v>
      </c>
      <c r="D6">
        <v>0</v>
      </c>
      <c r="E6">
        <v>1.8794650500000001</v>
      </c>
      <c r="G6" t="s">
        <v>24</v>
      </c>
      <c r="H6">
        <f>COUNT(C2:C51)</f>
        <v>50</v>
      </c>
      <c r="J6">
        <v>5</v>
      </c>
      <c r="K6">
        <v>5.0999999999999996</v>
      </c>
      <c r="L6">
        <v>2.2000000000000002</v>
      </c>
    </row>
    <row r="7" spans="1:26" x14ac:dyDescent="0.25">
      <c r="A7">
        <v>13.3</v>
      </c>
      <c r="B7">
        <v>27</v>
      </c>
      <c r="C7">
        <v>3.6</v>
      </c>
      <c r="D7">
        <v>0</v>
      </c>
      <c r="E7">
        <v>2.0294631719999998</v>
      </c>
      <c r="J7">
        <v>6</v>
      </c>
      <c r="K7">
        <v>10.199999999999999</v>
      </c>
      <c r="L7">
        <v>2.2000000000000002</v>
      </c>
      <c r="N7" t="s">
        <v>33</v>
      </c>
    </row>
    <row r="8" spans="1:26" x14ac:dyDescent="0.25">
      <c r="A8">
        <v>13.7</v>
      </c>
      <c r="B8">
        <v>33</v>
      </c>
      <c r="C8">
        <v>9.4</v>
      </c>
      <c r="D8">
        <v>0</v>
      </c>
      <c r="E8">
        <v>4.1292289640000002</v>
      </c>
      <c r="J8">
        <v>7</v>
      </c>
      <c r="K8">
        <v>11.2</v>
      </c>
      <c r="L8">
        <v>2.2000000000000002</v>
      </c>
      <c r="N8" t="s">
        <v>5</v>
      </c>
      <c r="O8" t="s">
        <v>6</v>
      </c>
      <c r="P8" t="s">
        <v>7</v>
      </c>
      <c r="Q8" t="s">
        <v>8</v>
      </c>
      <c r="R8" t="s">
        <v>9</v>
      </c>
      <c r="S8" t="s">
        <v>10</v>
      </c>
      <c r="T8" t="s">
        <v>11</v>
      </c>
      <c r="U8" t="s">
        <v>12</v>
      </c>
      <c r="V8" t="s">
        <v>13</v>
      </c>
      <c r="W8" t="s">
        <v>14</v>
      </c>
      <c r="X8" t="s">
        <v>15</v>
      </c>
    </row>
    <row r="9" spans="1:26" x14ac:dyDescent="0.25">
      <c r="A9">
        <v>14.3</v>
      </c>
      <c r="B9">
        <v>79</v>
      </c>
      <c r="C9">
        <v>4</v>
      </c>
      <c r="D9">
        <v>0</v>
      </c>
      <c r="E9">
        <v>1.0784095810000001</v>
      </c>
      <c r="J9">
        <v>8</v>
      </c>
      <c r="K9">
        <v>13.3</v>
      </c>
      <c r="L9">
        <v>2.7</v>
      </c>
      <c r="N9" t="s">
        <v>16</v>
      </c>
      <c r="O9">
        <v>1</v>
      </c>
      <c r="P9">
        <v>1</v>
      </c>
      <c r="Q9">
        <v>4</v>
      </c>
      <c r="R9">
        <v>1</v>
      </c>
      <c r="S9">
        <v>3</v>
      </c>
      <c r="T9">
        <v>1</v>
      </c>
      <c r="U9">
        <v>4</v>
      </c>
      <c r="V9">
        <v>1</v>
      </c>
      <c r="W9">
        <v>0</v>
      </c>
      <c r="X9">
        <v>2</v>
      </c>
    </row>
    <row r="10" spans="1:26" x14ac:dyDescent="0.25">
      <c r="A10">
        <v>17.600000000000001</v>
      </c>
      <c r="B10">
        <v>27</v>
      </c>
      <c r="C10">
        <v>5.8</v>
      </c>
      <c r="D10">
        <v>0</v>
      </c>
      <c r="E10">
        <v>0</v>
      </c>
      <c r="J10">
        <v>9</v>
      </c>
      <c r="K10">
        <v>13.7</v>
      </c>
      <c r="L10">
        <v>2.7</v>
      </c>
      <c r="N10" t="s">
        <v>17</v>
      </c>
      <c r="O10">
        <v>3</v>
      </c>
      <c r="P10">
        <v>2</v>
      </c>
      <c r="Q10">
        <v>5</v>
      </c>
      <c r="R10">
        <v>5</v>
      </c>
      <c r="S10">
        <v>0</v>
      </c>
      <c r="T10">
        <v>4</v>
      </c>
      <c r="U10">
        <v>0</v>
      </c>
      <c r="V10">
        <v>3</v>
      </c>
      <c r="W10">
        <v>5</v>
      </c>
      <c r="X10">
        <v>2</v>
      </c>
    </row>
    <row r="11" spans="1:26" x14ac:dyDescent="0.25">
      <c r="A11">
        <v>18</v>
      </c>
      <c r="B11">
        <v>40</v>
      </c>
      <c r="C11">
        <v>4</v>
      </c>
      <c r="D11">
        <v>0</v>
      </c>
      <c r="E11">
        <v>3.6757942149999998</v>
      </c>
      <c r="J11">
        <v>10</v>
      </c>
      <c r="K11">
        <v>14.3</v>
      </c>
      <c r="L11">
        <v>2.7</v>
      </c>
      <c r="N11" t="s">
        <v>18</v>
      </c>
      <c r="O11">
        <v>2</v>
      </c>
      <c r="P11">
        <v>0</v>
      </c>
      <c r="Q11">
        <v>5</v>
      </c>
      <c r="R11">
        <v>2</v>
      </c>
      <c r="S11">
        <v>1</v>
      </c>
      <c r="T11">
        <v>3</v>
      </c>
      <c r="U11">
        <v>2</v>
      </c>
      <c r="V11">
        <v>0</v>
      </c>
      <c r="W11">
        <v>3</v>
      </c>
      <c r="X11">
        <v>3</v>
      </c>
    </row>
    <row r="12" spans="1:26" x14ac:dyDescent="0.25">
      <c r="A12">
        <v>18.2</v>
      </c>
      <c r="B12">
        <v>82</v>
      </c>
      <c r="C12">
        <v>4.5</v>
      </c>
      <c r="D12">
        <v>0</v>
      </c>
      <c r="E12">
        <v>1.166270937</v>
      </c>
      <c r="J12">
        <v>11</v>
      </c>
      <c r="K12">
        <v>17.600000000000001</v>
      </c>
      <c r="L12">
        <v>2.7</v>
      </c>
    </row>
    <row r="13" spans="1:26" x14ac:dyDescent="0.25">
      <c r="A13">
        <v>18.2</v>
      </c>
      <c r="B13">
        <v>62</v>
      </c>
      <c r="C13">
        <v>5.4</v>
      </c>
      <c r="D13">
        <v>0</v>
      </c>
      <c r="E13">
        <v>0.35767444399999998</v>
      </c>
      <c r="J13">
        <v>12</v>
      </c>
      <c r="K13">
        <v>18</v>
      </c>
      <c r="L13">
        <v>3.1</v>
      </c>
    </row>
    <row r="14" spans="1:26" x14ac:dyDescent="0.25">
      <c r="A14">
        <v>18.5</v>
      </c>
      <c r="B14">
        <v>73</v>
      </c>
      <c r="C14">
        <v>8.5</v>
      </c>
      <c r="D14">
        <v>0</v>
      </c>
      <c r="E14">
        <v>0</v>
      </c>
      <c r="J14">
        <v>13</v>
      </c>
      <c r="K14">
        <v>18.2</v>
      </c>
      <c r="L14">
        <v>3.1</v>
      </c>
      <c r="N14" t="s">
        <v>19</v>
      </c>
      <c r="O14">
        <f>O9*O10</f>
        <v>3</v>
      </c>
      <c r="P14">
        <f t="shared" ref="P14:X14" si="1">P9*P10</f>
        <v>2</v>
      </c>
      <c r="Q14">
        <f t="shared" si="1"/>
        <v>20</v>
      </c>
      <c r="R14">
        <f t="shared" si="1"/>
        <v>5</v>
      </c>
      <c r="S14">
        <f t="shared" si="1"/>
        <v>0</v>
      </c>
      <c r="T14">
        <f t="shared" si="1"/>
        <v>4</v>
      </c>
      <c r="U14">
        <f t="shared" si="1"/>
        <v>0</v>
      </c>
      <c r="V14">
        <f t="shared" si="1"/>
        <v>3</v>
      </c>
      <c r="W14">
        <f t="shared" si="1"/>
        <v>0</v>
      </c>
      <c r="X14">
        <f t="shared" si="1"/>
        <v>4</v>
      </c>
      <c r="Y14">
        <f>SUM(O14:X14)</f>
        <v>41</v>
      </c>
    </row>
    <row r="15" spans="1:26" x14ac:dyDescent="0.25">
      <c r="A15">
        <v>19.399999999999999</v>
      </c>
      <c r="B15">
        <v>71</v>
      </c>
      <c r="C15">
        <v>7.6</v>
      </c>
      <c r="D15">
        <v>0</v>
      </c>
      <c r="E15">
        <v>3.864931398</v>
      </c>
      <c r="J15">
        <v>14</v>
      </c>
      <c r="K15">
        <v>18.2</v>
      </c>
      <c r="L15">
        <v>3.6</v>
      </c>
      <c r="N15" t="s">
        <v>16</v>
      </c>
      <c r="O15">
        <f>O9*O9</f>
        <v>1</v>
      </c>
      <c r="P15">
        <f t="shared" ref="P15:X16" si="2">P9*P9</f>
        <v>1</v>
      </c>
      <c r="Q15">
        <f t="shared" si="2"/>
        <v>16</v>
      </c>
      <c r="R15">
        <f t="shared" si="2"/>
        <v>1</v>
      </c>
      <c r="S15">
        <f t="shared" si="2"/>
        <v>9</v>
      </c>
      <c r="T15">
        <f t="shared" si="2"/>
        <v>1</v>
      </c>
      <c r="U15">
        <f t="shared" si="2"/>
        <v>16</v>
      </c>
      <c r="V15">
        <f t="shared" si="2"/>
        <v>1</v>
      </c>
      <c r="W15">
        <f t="shared" si="2"/>
        <v>0</v>
      </c>
      <c r="X15">
        <f t="shared" si="2"/>
        <v>4</v>
      </c>
      <c r="Y15">
        <f t="shared" ref="Y15:Y16" si="3">SUM(O15:X15)</f>
        <v>50</v>
      </c>
      <c r="Z15">
        <f>SQRT(Y15)</f>
        <v>7.0710678118654755</v>
      </c>
    </row>
    <row r="16" spans="1:26" x14ac:dyDescent="0.25">
      <c r="A16">
        <v>20.6</v>
      </c>
      <c r="B16">
        <v>58</v>
      </c>
      <c r="C16">
        <v>1.3</v>
      </c>
      <c r="D16">
        <v>0</v>
      </c>
      <c r="E16">
        <v>0</v>
      </c>
      <c r="J16">
        <v>15</v>
      </c>
      <c r="K16">
        <v>18.5</v>
      </c>
      <c r="L16">
        <v>3.6</v>
      </c>
      <c r="N16" t="s">
        <v>17</v>
      </c>
      <c r="O16">
        <f>O10*O10</f>
        <v>9</v>
      </c>
      <c r="P16">
        <f t="shared" si="2"/>
        <v>4</v>
      </c>
      <c r="Q16">
        <f t="shared" si="2"/>
        <v>25</v>
      </c>
      <c r="R16">
        <f t="shared" si="2"/>
        <v>25</v>
      </c>
      <c r="S16">
        <f t="shared" si="2"/>
        <v>0</v>
      </c>
      <c r="T16">
        <f t="shared" si="2"/>
        <v>16</v>
      </c>
      <c r="U16">
        <f t="shared" si="2"/>
        <v>0</v>
      </c>
      <c r="V16">
        <f t="shared" si="2"/>
        <v>9</v>
      </c>
      <c r="W16">
        <f t="shared" si="2"/>
        <v>25</v>
      </c>
      <c r="X16">
        <f t="shared" si="2"/>
        <v>4</v>
      </c>
      <c r="Y16">
        <f t="shared" si="3"/>
        <v>117</v>
      </c>
      <c r="Z16">
        <f>SQRT(Y16)</f>
        <v>10.816653826391969</v>
      </c>
    </row>
    <row r="17" spans="1:26" x14ac:dyDescent="0.25">
      <c r="A17">
        <v>20.7</v>
      </c>
      <c r="B17">
        <v>69</v>
      </c>
      <c r="C17">
        <v>4.9000000000000004</v>
      </c>
      <c r="D17">
        <v>0.4</v>
      </c>
      <c r="E17">
        <v>0</v>
      </c>
      <c r="J17">
        <v>16</v>
      </c>
      <c r="K17">
        <v>19.399999999999999</v>
      </c>
      <c r="L17">
        <v>3.6</v>
      </c>
      <c r="Y17" t="s">
        <v>35</v>
      </c>
      <c r="Z17">
        <f>Y14/(Z15*Z16)</f>
        <v>0.53605076937770291</v>
      </c>
    </row>
    <row r="18" spans="1:26" x14ac:dyDescent="0.25">
      <c r="A18">
        <v>21.1</v>
      </c>
      <c r="B18">
        <v>71</v>
      </c>
      <c r="C18">
        <v>7.6</v>
      </c>
      <c r="D18">
        <v>1.4</v>
      </c>
      <c r="E18">
        <v>1.1537315880000001</v>
      </c>
      <c r="J18">
        <v>17</v>
      </c>
      <c r="K18">
        <v>20.6</v>
      </c>
      <c r="L18">
        <v>3.6</v>
      </c>
      <c r="N18" t="s">
        <v>34</v>
      </c>
      <c r="O18">
        <f>O9*O11</f>
        <v>2</v>
      </c>
      <c r="P18">
        <f t="shared" ref="P18:X18" si="4">P9*P11</f>
        <v>0</v>
      </c>
      <c r="Q18">
        <f t="shared" si="4"/>
        <v>20</v>
      </c>
      <c r="R18">
        <f t="shared" si="4"/>
        <v>2</v>
      </c>
      <c r="S18">
        <f t="shared" si="4"/>
        <v>3</v>
      </c>
      <c r="T18">
        <f t="shared" si="4"/>
        <v>3</v>
      </c>
      <c r="U18">
        <f t="shared" si="4"/>
        <v>8</v>
      </c>
      <c r="V18">
        <f t="shared" si="4"/>
        <v>0</v>
      </c>
      <c r="W18">
        <f t="shared" si="4"/>
        <v>0</v>
      </c>
      <c r="X18">
        <f t="shared" si="4"/>
        <v>6</v>
      </c>
      <c r="Y18">
        <f>SUM(O18:X18)</f>
        <v>44</v>
      </c>
    </row>
    <row r="19" spans="1:26" x14ac:dyDescent="0.25">
      <c r="A19">
        <v>21.6</v>
      </c>
      <c r="B19">
        <v>65</v>
      </c>
      <c r="C19">
        <v>4.9000000000000004</v>
      </c>
      <c r="D19">
        <v>0.8</v>
      </c>
      <c r="E19">
        <v>0</v>
      </c>
      <c r="J19">
        <v>18</v>
      </c>
      <c r="K19">
        <v>20.7</v>
      </c>
      <c r="L19">
        <v>3.6</v>
      </c>
      <c r="N19" t="s">
        <v>16</v>
      </c>
      <c r="O19">
        <f>O9*O9</f>
        <v>1</v>
      </c>
      <c r="P19">
        <f t="shared" ref="P19:X19" si="5">P9*P9</f>
        <v>1</v>
      </c>
      <c r="Q19">
        <f t="shared" si="5"/>
        <v>16</v>
      </c>
      <c r="R19">
        <f t="shared" si="5"/>
        <v>1</v>
      </c>
      <c r="S19">
        <f t="shared" si="5"/>
        <v>9</v>
      </c>
      <c r="T19">
        <f t="shared" si="5"/>
        <v>1</v>
      </c>
      <c r="U19">
        <f t="shared" si="5"/>
        <v>16</v>
      </c>
      <c r="V19">
        <f t="shared" si="5"/>
        <v>1</v>
      </c>
      <c r="W19">
        <f t="shared" si="5"/>
        <v>0</v>
      </c>
      <c r="X19">
        <f t="shared" si="5"/>
        <v>4</v>
      </c>
      <c r="Y19">
        <f t="shared" ref="Y19:Y20" si="6">SUM(O19:X19)</f>
        <v>50</v>
      </c>
      <c r="Z19">
        <f>SQRT(Y19)</f>
        <v>7.0710678118654755</v>
      </c>
    </row>
    <row r="20" spans="1:26" x14ac:dyDescent="0.25">
      <c r="A20">
        <v>21.6</v>
      </c>
      <c r="B20">
        <v>65</v>
      </c>
      <c r="C20">
        <v>4.9000000000000004</v>
      </c>
      <c r="D20">
        <v>0.8</v>
      </c>
      <c r="E20">
        <v>0</v>
      </c>
      <c r="J20">
        <v>19</v>
      </c>
      <c r="K20">
        <v>21.1</v>
      </c>
      <c r="L20">
        <v>4</v>
      </c>
      <c r="N20" t="s">
        <v>18</v>
      </c>
      <c r="O20">
        <f>O11*O11</f>
        <v>4</v>
      </c>
      <c r="P20">
        <f t="shared" ref="P20:X20" si="7">P11*P11</f>
        <v>0</v>
      </c>
      <c r="Q20">
        <f t="shared" si="7"/>
        <v>25</v>
      </c>
      <c r="R20">
        <f t="shared" si="7"/>
        <v>4</v>
      </c>
      <c r="S20">
        <f t="shared" si="7"/>
        <v>1</v>
      </c>
      <c r="T20">
        <f t="shared" si="7"/>
        <v>9</v>
      </c>
      <c r="U20">
        <f t="shared" si="7"/>
        <v>4</v>
      </c>
      <c r="V20">
        <f t="shared" si="7"/>
        <v>0</v>
      </c>
      <c r="W20">
        <f t="shared" si="7"/>
        <v>9</v>
      </c>
      <c r="X20">
        <f t="shared" si="7"/>
        <v>9</v>
      </c>
      <c r="Y20">
        <f t="shared" si="6"/>
        <v>65</v>
      </c>
      <c r="Z20">
        <f>SQRT(Y20)</f>
        <v>8.0622577482985491</v>
      </c>
    </row>
    <row r="21" spans="1:26" x14ac:dyDescent="0.25">
      <c r="A21">
        <v>47.1</v>
      </c>
      <c r="B21">
        <v>57</v>
      </c>
      <c r="C21">
        <v>4.9000000000000004</v>
      </c>
      <c r="D21">
        <v>0</v>
      </c>
      <c r="E21">
        <v>5.633109621</v>
      </c>
      <c r="J21">
        <v>20</v>
      </c>
      <c r="K21">
        <v>21.6</v>
      </c>
      <c r="L21">
        <v>4</v>
      </c>
      <c r="Y21" t="s">
        <v>35</v>
      </c>
      <c r="Z21">
        <f>Y18/(Z19*Z20)</f>
        <v>0.77181105699018571</v>
      </c>
    </row>
    <row r="22" spans="1:26" x14ac:dyDescent="0.25">
      <c r="A22">
        <v>22.7</v>
      </c>
      <c r="B22">
        <v>40</v>
      </c>
      <c r="C22">
        <v>9.4</v>
      </c>
      <c r="D22">
        <v>0</v>
      </c>
      <c r="E22">
        <v>1.432700734</v>
      </c>
      <c r="J22">
        <v>21</v>
      </c>
      <c r="K22">
        <v>21.6</v>
      </c>
      <c r="L22">
        <v>4</v>
      </c>
    </row>
    <row r="23" spans="1:26" x14ac:dyDescent="0.25">
      <c r="A23">
        <v>23.4</v>
      </c>
      <c r="B23">
        <v>40</v>
      </c>
      <c r="C23">
        <v>5.8</v>
      </c>
      <c r="D23">
        <v>0</v>
      </c>
      <c r="E23">
        <v>0.828551818</v>
      </c>
      <c r="J23">
        <v>22</v>
      </c>
      <c r="K23">
        <v>22.7</v>
      </c>
      <c r="L23">
        <v>4</v>
      </c>
      <c r="N23" t="s">
        <v>36</v>
      </c>
    </row>
    <row r="24" spans="1:26" x14ac:dyDescent="0.25">
      <c r="A24">
        <v>23.9</v>
      </c>
      <c r="B24">
        <v>42</v>
      </c>
      <c r="C24">
        <v>2.2000000000000002</v>
      </c>
      <c r="D24">
        <v>0</v>
      </c>
      <c r="E24">
        <v>0</v>
      </c>
      <c r="J24">
        <v>23</v>
      </c>
      <c r="K24">
        <v>23.4</v>
      </c>
      <c r="L24">
        <v>4</v>
      </c>
      <c r="N24" t="s">
        <v>37</v>
      </c>
      <c r="O24" t="s">
        <v>6</v>
      </c>
      <c r="P24" t="s">
        <v>7</v>
      </c>
      <c r="Q24" t="s">
        <v>8</v>
      </c>
      <c r="R24" t="s">
        <v>9</v>
      </c>
      <c r="S24" t="s">
        <v>10</v>
      </c>
      <c r="T24" t="s">
        <v>11</v>
      </c>
      <c r="U24" t="s">
        <v>12</v>
      </c>
      <c r="V24" t="s">
        <v>47</v>
      </c>
    </row>
    <row r="25" spans="1:26" x14ac:dyDescent="0.25">
      <c r="A25">
        <v>24.1</v>
      </c>
      <c r="B25">
        <v>43</v>
      </c>
      <c r="C25">
        <v>6.3</v>
      </c>
      <c r="D25">
        <v>0</v>
      </c>
      <c r="E25">
        <v>1.0986122890000001</v>
      </c>
      <c r="J25">
        <v>24</v>
      </c>
      <c r="K25">
        <v>23.9</v>
      </c>
      <c r="L25">
        <v>4.5</v>
      </c>
      <c r="N25" t="s">
        <v>16</v>
      </c>
      <c r="O25">
        <v>47</v>
      </c>
      <c r="P25">
        <v>0</v>
      </c>
      <c r="Q25" t="s">
        <v>38</v>
      </c>
      <c r="R25" t="s">
        <v>39</v>
      </c>
      <c r="S25" t="s">
        <v>38</v>
      </c>
      <c r="T25" t="s">
        <v>40</v>
      </c>
      <c r="U25" t="s">
        <v>41</v>
      </c>
      <c r="V25">
        <f>1/3</f>
        <v>0.33333333333333331</v>
      </c>
    </row>
    <row r="26" spans="1:26" x14ac:dyDescent="0.25">
      <c r="A26">
        <v>24.5</v>
      </c>
      <c r="B26">
        <v>50</v>
      </c>
      <c r="C26">
        <v>3.1</v>
      </c>
      <c r="D26">
        <v>0</v>
      </c>
      <c r="E26">
        <v>4.267176793</v>
      </c>
      <c r="J26">
        <v>25</v>
      </c>
      <c r="K26">
        <v>24.1</v>
      </c>
      <c r="L26">
        <v>4.5</v>
      </c>
      <c r="N26" t="s">
        <v>17</v>
      </c>
      <c r="O26">
        <v>32</v>
      </c>
      <c r="P26">
        <v>1</v>
      </c>
      <c r="Q26" t="s">
        <v>38</v>
      </c>
      <c r="R26" t="s">
        <v>38</v>
      </c>
      <c r="S26" t="s">
        <v>38</v>
      </c>
      <c r="T26" t="s">
        <v>42</v>
      </c>
      <c r="U26" t="s">
        <v>43</v>
      </c>
      <c r="V26">
        <v>1</v>
      </c>
    </row>
    <row r="27" spans="1:26" x14ac:dyDescent="0.25">
      <c r="A27">
        <v>25.9</v>
      </c>
      <c r="B27">
        <v>41</v>
      </c>
      <c r="C27">
        <v>3.6</v>
      </c>
      <c r="D27">
        <v>0</v>
      </c>
      <c r="E27">
        <v>0</v>
      </c>
      <c r="J27">
        <v>26</v>
      </c>
      <c r="K27">
        <v>24.5</v>
      </c>
      <c r="L27">
        <v>4.5</v>
      </c>
      <c r="N27" t="s">
        <v>18</v>
      </c>
      <c r="O27">
        <v>29</v>
      </c>
      <c r="P27">
        <v>0</v>
      </c>
      <c r="Q27" t="s">
        <v>38</v>
      </c>
      <c r="R27" t="s">
        <v>38</v>
      </c>
      <c r="S27" t="s">
        <v>39</v>
      </c>
      <c r="T27" t="s">
        <v>40</v>
      </c>
      <c r="U27" t="s">
        <v>41</v>
      </c>
      <c r="V27">
        <f>1/3</f>
        <v>0.33333333333333331</v>
      </c>
    </row>
    <row r="28" spans="1:26" x14ac:dyDescent="0.25">
      <c r="A28">
        <v>45.4</v>
      </c>
      <c r="B28">
        <v>41</v>
      </c>
      <c r="C28">
        <v>3.6</v>
      </c>
      <c r="D28">
        <v>0</v>
      </c>
      <c r="E28">
        <v>0</v>
      </c>
      <c r="J28">
        <v>27</v>
      </c>
      <c r="K28">
        <v>25.9</v>
      </c>
      <c r="L28">
        <v>4.5</v>
      </c>
      <c r="N28" t="s">
        <v>26</v>
      </c>
      <c r="O28">
        <v>35</v>
      </c>
      <c r="P28">
        <v>0</v>
      </c>
      <c r="Q28" t="s">
        <v>39</v>
      </c>
      <c r="R28" t="s">
        <v>38</v>
      </c>
      <c r="S28" t="s">
        <v>38</v>
      </c>
      <c r="T28" t="s">
        <v>44</v>
      </c>
      <c r="U28" t="s">
        <v>45</v>
      </c>
      <c r="V28">
        <f>2/3</f>
        <v>0.66666666666666663</v>
      </c>
    </row>
    <row r="29" spans="1:26" x14ac:dyDescent="0.25">
      <c r="A29">
        <v>26.1</v>
      </c>
      <c r="B29">
        <v>45</v>
      </c>
      <c r="C29">
        <v>4</v>
      </c>
      <c r="D29">
        <v>0</v>
      </c>
      <c r="E29">
        <v>2.1234584270000001</v>
      </c>
      <c r="J29">
        <v>28</v>
      </c>
      <c r="K29">
        <v>26.1</v>
      </c>
      <c r="L29">
        <v>4.9000000000000004</v>
      </c>
      <c r="N29" t="s">
        <v>27</v>
      </c>
      <c r="O29">
        <v>73</v>
      </c>
      <c r="P29">
        <v>1</v>
      </c>
      <c r="Q29" t="s">
        <v>38</v>
      </c>
      <c r="R29" t="s">
        <v>38</v>
      </c>
      <c r="S29" t="s">
        <v>38</v>
      </c>
      <c r="T29" t="s">
        <v>42</v>
      </c>
      <c r="U29" t="s">
        <v>43</v>
      </c>
      <c r="V29">
        <v>1</v>
      </c>
    </row>
    <row r="30" spans="1:26" x14ac:dyDescent="0.25">
      <c r="A30">
        <v>26.4</v>
      </c>
      <c r="B30">
        <v>35</v>
      </c>
      <c r="C30">
        <v>2.7</v>
      </c>
      <c r="D30">
        <v>0</v>
      </c>
      <c r="E30">
        <v>2.4051416809999999</v>
      </c>
      <c r="J30">
        <v>29</v>
      </c>
      <c r="K30">
        <v>26.4</v>
      </c>
      <c r="L30">
        <v>4.9000000000000004</v>
      </c>
      <c r="N30" t="s">
        <v>28</v>
      </c>
      <c r="O30">
        <v>27</v>
      </c>
      <c r="P30">
        <v>0</v>
      </c>
      <c r="Q30" t="s">
        <v>39</v>
      </c>
      <c r="R30" t="s">
        <v>38</v>
      </c>
      <c r="S30" t="s">
        <v>38</v>
      </c>
      <c r="T30" t="s">
        <v>42</v>
      </c>
      <c r="U30" t="s">
        <v>45</v>
      </c>
      <c r="V30">
        <f>2/3</f>
        <v>0.66666666666666663</v>
      </c>
    </row>
    <row r="31" spans="1:26" x14ac:dyDescent="0.25">
      <c r="A31">
        <v>26.4</v>
      </c>
      <c r="B31">
        <v>34</v>
      </c>
      <c r="C31">
        <v>3.6</v>
      </c>
      <c r="D31">
        <v>0</v>
      </c>
      <c r="E31">
        <v>2.856470206</v>
      </c>
      <c r="J31">
        <v>30</v>
      </c>
      <c r="K31">
        <v>26.4</v>
      </c>
      <c r="L31">
        <v>4.9000000000000004</v>
      </c>
      <c r="N31" t="s">
        <v>29</v>
      </c>
      <c r="O31">
        <v>52</v>
      </c>
      <c r="P31">
        <v>1</v>
      </c>
      <c r="Q31" t="s">
        <v>38</v>
      </c>
      <c r="R31" t="s">
        <v>39</v>
      </c>
      <c r="S31" t="s">
        <v>38</v>
      </c>
      <c r="T31" t="s">
        <v>40</v>
      </c>
      <c r="U31" t="s">
        <v>41</v>
      </c>
      <c r="V31">
        <f>1/3</f>
        <v>0.33333333333333331</v>
      </c>
    </row>
    <row r="32" spans="1:26" x14ac:dyDescent="0.25">
      <c r="A32">
        <v>26.7</v>
      </c>
      <c r="B32">
        <v>35</v>
      </c>
      <c r="C32">
        <v>1.8</v>
      </c>
      <c r="D32">
        <v>0</v>
      </c>
      <c r="E32">
        <v>1.916922612</v>
      </c>
      <c r="J32">
        <v>31</v>
      </c>
      <c r="K32">
        <v>26.7</v>
      </c>
      <c r="L32">
        <v>4.9000000000000004</v>
      </c>
      <c r="N32" t="s">
        <v>30</v>
      </c>
      <c r="O32">
        <v>36</v>
      </c>
      <c r="P32">
        <v>1</v>
      </c>
      <c r="Q32" t="s">
        <v>38</v>
      </c>
      <c r="R32" t="s">
        <v>38</v>
      </c>
      <c r="S32" t="s">
        <v>39</v>
      </c>
      <c r="T32" t="s">
        <v>42</v>
      </c>
      <c r="U32" t="s">
        <v>45</v>
      </c>
      <c r="V32">
        <f>2/3</f>
        <v>0.66666666666666663</v>
      </c>
    </row>
    <row r="33" spans="1:23" x14ac:dyDescent="0.25">
      <c r="A33">
        <v>27.2</v>
      </c>
      <c r="B33">
        <v>28</v>
      </c>
      <c r="C33">
        <v>1.3</v>
      </c>
      <c r="D33">
        <v>0</v>
      </c>
      <c r="E33">
        <v>1.0152306799999999</v>
      </c>
      <c r="J33">
        <v>32</v>
      </c>
      <c r="K33">
        <v>27.2</v>
      </c>
      <c r="L33">
        <v>4.9000000000000004</v>
      </c>
      <c r="N33" t="s">
        <v>31</v>
      </c>
      <c r="O33">
        <v>12</v>
      </c>
      <c r="P33">
        <v>0</v>
      </c>
      <c r="Q33" t="s">
        <v>39</v>
      </c>
      <c r="R33" t="s">
        <v>38</v>
      </c>
      <c r="S33" t="s">
        <v>39</v>
      </c>
      <c r="T33" t="s">
        <v>42</v>
      </c>
      <c r="U33" t="s">
        <v>43</v>
      </c>
      <c r="V33">
        <v>1</v>
      </c>
    </row>
    <row r="34" spans="1:23" x14ac:dyDescent="0.25">
      <c r="A34">
        <v>27.3</v>
      </c>
      <c r="B34">
        <v>63</v>
      </c>
      <c r="C34">
        <v>4.9000000000000004</v>
      </c>
      <c r="D34">
        <v>6.4</v>
      </c>
      <c r="E34">
        <v>2.4697930119999998</v>
      </c>
      <c r="J34">
        <v>33</v>
      </c>
      <c r="K34">
        <v>27.3</v>
      </c>
      <c r="L34">
        <v>4.9000000000000004</v>
      </c>
      <c r="N34" t="s">
        <v>22</v>
      </c>
      <c r="O34">
        <f>MIN(O25:O33)</f>
        <v>12</v>
      </c>
      <c r="V34">
        <f>MIN(V25:V33)</f>
        <v>0.33333333333333331</v>
      </c>
    </row>
    <row r="35" spans="1:23" x14ac:dyDescent="0.25">
      <c r="A35">
        <v>27.5</v>
      </c>
      <c r="B35">
        <v>29</v>
      </c>
      <c r="C35">
        <v>4.5</v>
      </c>
      <c r="D35">
        <v>0</v>
      </c>
      <c r="E35">
        <v>3.791436042</v>
      </c>
      <c r="J35">
        <v>34</v>
      </c>
      <c r="K35">
        <v>27.5</v>
      </c>
      <c r="L35">
        <v>4.9000000000000004</v>
      </c>
      <c r="N35" t="s">
        <v>23</v>
      </c>
      <c r="O35">
        <f>MAX(O25:O33)</f>
        <v>73</v>
      </c>
      <c r="V35">
        <f>MAX(V25:V33)</f>
        <v>1</v>
      </c>
    </row>
    <row r="36" spans="1:23" x14ac:dyDescent="0.25">
      <c r="A36">
        <v>27.8</v>
      </c>
      <c r="B36">
        <v>35</v>
      </c>
      <c r="C36">
        <v>2.7</v>
      </c>
      <c r="D36">
        <v>0</v>
      </c>
      <c r="E36">
        <v>0</v>
      </c>
      <c r="J36">
        <v>35</v>
      </c>
      <c r="K36">
        <v>27.8</v>
      </c>
      <c r="L36">
        <v>4.9000000000000004</v>
      </c>
    </row>
    <row r="37" spans="1:23" x14ac:dyDescent="0.25">
      <c r="A37">
        <v>27.8</v>
      </c>
      <c r="B37">
        <v>32</v>
      </c>
      <c r="C37">
        <v>2.7</v>
      </c>
      <c r="D37">
        <v>0</v>
      </c>
      <c r="E37">
        <v>2.0068708489999998</v>
      </c>
      <c r="J37">
        <v>36</v>
      </c>
      <c r="K37">
        <v>27.8</v>
      </c>
      <c r="L37">
        <v>4.9000000000000004</v>
      </c>
      <c r="N37" t="s">
        <v>46</v>
      </c>
      <c r="O37">
        <f>ABS(O25-O26)/(O35-O34)</f>
        <v>0.24590163934426229</v>
      </c>
      <c r="P37">
        <f>N(NOT(EXACT(P25,P26)))</f>
        <v>1</v>
      </c>
      <c r="Q37">
        <f t="shared" ref="Q37:S37" si="8">N(NOT(EXACT(Q25,Q26)))</f>
        <v>0</v>
      </c>
      <c r="R37">
        <f t="shared" si="8"/>
        <v>1</v>
      </c>
      <c r="S37">
        <f t="shared" si="8"/>
        <v>0</v>
      </c>
      <c r="T37">
        <f>N(NOT(EXACT(T25,T26)))</f>
        <v>1</v>
      </c>
      <c r="V37">
        <f>ABS(V25-V26)/(V35-V34)</f>
        <v>1</v>
      </c>
      <c r="W37">
        <f>SUM(O37:V37)/6</f>
        <v>0.70765027322404384</v>
      </c>
    </row>
    <row r="38" spans="1:23" x14ac:dyDescent="0.25">
      <c r="A38">
        <v>49.2</v>
      </c>
      <c r="B38">
        <v>33</v>
      </c>
      <c r="C38">
        <v>4</v>
      </c>
      <c r="D38">
        <v>0</v>
      </c>
      <c r="E38">
        <v>0</v>
      </c>
      <c r="J38">
        <v>37</v>
      </c>
      <c r="K38">
        <v>29.2</v>
      </c>
      <c r="L38">
        <v>5.4</v>
      </c>
      <c r="N38" t="s">
        <v>48</v>
      </c>
      <c r="O38">
        <f>ABS(O25-O27)/(O35-O34)</f>
        <v>0.29508196721311475</v>
      </c>
      <c r="P38">
        <f>N(NOT(EXACT(P25,P27)))</f>
        <v>0</v>
      </c>
      <c r="Q38">
        <f t="shared" ref="Q38:T38" si="9">N(NOT(EXACT(Q25,Q27)))</f>
        <v>0</v>
      </c>
      <c r="R38">
        <f t="shared" si="9"/>
        <v>1</v>
      </c>
      <c r="S38">
        <f t="shared" si="9"/>
        <v>1</v>
      </c>
      <c r="T38">
        <f t="shared" si="9"/>
        <v>0</v>
      </c>
      <c r="V38">
        <f>ABS(V25-V27)/(V35-V34)</f>
        <v>0</v>
      </c>
      <c r="W38">
        <f>SUM(O38:V38)/7</f>
        <v>0.32786885245901637</v>
      </c>
    </row>
    <row r="39" spans="1:23" x14ac:dyDescent="0.25">
      <c r="A39">
        <v>2.1</v>
      </c>
      <c r="B39">
        <v>29</v>
      </c>
      <c r="C39">
        <v>4.9000000000000004</v>
      </c>
      <c r="D39">
        <v>0</v>
      </c>
      <c r="E39">
        <v>3.923753928</v>
      </c>
      <c r="J39">
        <v>38</v>
      </c>
      <c r="K39">
        <v>30.2</v>
      </c>
      <c r="L39">
        <v>5.4</v>
      </c>
    </row>
    <row r="40" spans="1:23" x14ac:dyDescent="0.25">
      <c r="A40">
        <v>29.2</v>
      </c>
      <c r="B40">
        <v>30</v>
      </c>
      <c r="C40">
        <v>4.9000000000000004</v>
      </c>
      <c r="D40">
        <v>0</v>
      </c>
      <c r="E40">
        <v>1.08180517</v>
      </c>
      <c r="J40">
        <v>39</v>
      </c>
      <c r="K40">
        <v>30.2</v>
      </c>
      <c r="L40">
        <v>5.4</v>
      </c>
    </row>
    <row r="41" spans="1:23" x14ac:dyDescent="0.25">
      <c r="A41">
        <v>30.2</v>
      </c>
      <c r="B41">
        <v>25</v>
      </c>
      <c r="C41">
        <v>4.5</v>
      </c>
      <c r="D41">
        <v>0</v>
      </c>
      <c r="E41">
        <v>1.32175584</v>
      </c>
      <c r="J41">
        <v>40</v>
      </c>
      <c r="K41">
        <v>30.6</v>
      </c>
      <c r="L41">
        <v>5.4</v>
      </c>
    </row>
    <row r="42" spans="1:23" x14ac:dyDescent="0.25">
      <c r="A42">
        <v>30.2</v>
      </c>
      <c r="B42">
        <v>22</v>
      </c>
      <c r="C42">
        <v>4.9000000000000004</v>
      </c>
      <c r="D42">
        <v>0</v>
      </c>
      <c r="E42">
        <v>0</v>
      </c>
      <c r="J42">
        <v>41</v>
      </c>
      <c r="K42">
        <v>30.8</v>
      </c>
      <c r="L42">
        <v>5.8</v>
      </c>
    </row>
    <row r="43" spans="1:23" x14ac:dyDescent="0.25">
      <c r="A43">
        <v>30.6</v>
      </c>
      <c r="B43">
        <v>28</v>
      </c>
      <c r="C43">
        <v>3.6</v>
      </c>
      <c r="D43">
        <v>0</v>
      </c>
      <c r="E43">
        <v>1.1216775619999999</v>
      </c>
      <c r="J43">
        <v>42</v>
      </c>
      <c r="K43">
        <v>32.299999999999997</v>
      </c>
      <c r="L43">
        <v>5.8</v>
      </c>
    </row>
    <row r="44" spans="1:23" x14ac:dyDescent="0.25">
      <c r="A44">
        <v>30.8</v>
      </c>
      <c r="B44">
        <v>30</v>
      </c>
      <c r="C44">
        <v>4.9000000000000004</v>
      </c>
      <c r="D44">
        <v>0</v>
      </c>
      <c r="E44">
        <v>2.2607208889999999</v>
      </c>
      <c r="J44">
        <v>43</v>
      </c>
      <c r="K44">
        <v>32.4</v>
      </c>
      <c r="L44">
        <v>5.8</v>
      </c>
    </row>
    <row r="45" spans="1:23" x14ac:dyDescent="0.25">
      <c r="A45">
        <v>1.2</v>
      </c>
      <c r="B45">
        <v>27</v>
      </c>
      <c r="C45">
        <v>5.4</v>
      </c>
      <c r="D45">
        <v>0</v>
      </c>
      <c r="E45">
        <v>0</v>
      </c>
      <c r="J45">
        <v>44</v>
      </c>
      <c r="K45">
        <v>32.4</v>
      </c>
      <c r="L45">
        <v>6.3</v>
      </c>
    </row>
    <row r="46" spans="1:23" x14ac:dyDescent="0.25">
      <c r="A46">
        <v>32.299999999999997</v>
      </c>
      <c r="B46">
        <v>27</v>
      </c>
      <c r="C46">
        <v>2.2000000000000002</v>
      </c>
      <c r="D46">
        <v>0</v>
      </c>
      <c r="E46">
        <v>2.7523860149999999</v>
      </c>
      <c r="J46">
        <v>45</v>
      </c>
      <c r="K46">
        <v>32.6</v>
      </c>
      <c r="L46">
        <v>6.3</v>
      </c>
    </row>
    <row r="47" spans="1:23" x14ac:dyDescent="0.25">
      <c r="A47">
        <v>32.4</v>
      </c>
      <c r="B47">
        <v>21</v>
      </c>
      <c r="C47">
        <v>4.5</v>
      </c>
      <c r="D47">
        <v>0</v>
      </c>
      <c r="E47">
        <v>0</v>
      </c>
      <c r="J47">
        <v>46</v>
      </c>
      <c r="K47">
        <v>33.1</v>
      </c>
      <c r="L47">
        <v>7.6</v>
      </c>
    </row>
    <row r="48" spans="1:23" x14ac:dyDescent="0.25">
      <c r="A48">
        <v>32.4</v>
      </c>
      <c r="B48">
        <v>27</v>
      </c>
      <c r="C48">
        <v>2.2000000000000002</v>
      </c>
      <c r="D48">
        <v>0</v>
      </c>
      <c r="E48">
        <v>0</v>
      </c>
      <c r="J48">
        <v>47</v>
      </c>
      <c r="K48">
        <v>33.299999999999997</v>
      </c>
      <c r="L48">
        <v>7.6</v>
      </c>
    </row>
    <row r="49" spans="1:12" x14ac:dyDescent="0.25">
      <c r="A49">
        <v>32.6</v>
      </c>
      <c r="B49">
        <v>26</v>
      </c>
      <c r="C49">
        <v>3.1</v>
      </c>
      <c r="D49">
        <v>0</v>
      </c>
      <c r="E49">
        <v>1.3270750010000001</v>
      </c>
      <c r="J49">
        <v>48</v>
      </c>
      <c r="K49">
        <v>45.4</v>
      </c>
      <c r="L49">
        <v>8.5</v>
      </c>
    </row>
    <row r="50" spans="1:12" x14ac:dyDescent="0.25">
      <c r="A50">
        <v>33.1</v>
      </c>
      <c r="B50">
        <v>25</v>
      </c>
      <c r="C50">
        <v>4</v>
      </c>
      <c r="D50">
        <v>0</v>
      </c>
      <c r="E50">
        <v>3.3116373050000001</v>
      </c>
      <c r="J50">
        <v>49</v>
      </c>
      <c r="K50">
        <v>47.1</v>
      </c>
      <c r="L50">
        <v>9.4</v>
      </c>
    </row>
    <row r="51" spans="1:12" x14ac:dyDescent="0.25">
      <c r="A51">
        <v>33.299999999999997</v>
      </c>
      <c r="B51">
        <v>26</v>
      </c>
      <c r="C51">
        <v>2.7</v>
      </c>
      <c r="D51">
        <v>0</v>
      </c>
      <c r="E51">
        <v>3.7266568179999999</v>
      </c>
      <c r="J51">
        <v>50</v>
      </c>
      <c r="K51">
        <v>49.2</v>
      </c>
      <c r="L51">
        <v>9.4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hw2_p1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dcterms:created xsi:type="dcterms:W3CDTF">2024-01-30T15:24:08Z</dcterms:created>
  <dcterms:modified xsi:type="dcterms:W3CDTF">2024-01-30T16:52:23Z</dcterms:modified>
</cp:coreProperties>
</file>