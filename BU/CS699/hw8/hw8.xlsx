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lliatx-my.sharepoint.com/personal/joseph_rissman_intelliatx_com/Documents/source_code/coursework/BU/CS699/hw8/"/>
    </mc:Choice>
  </mc:AlternateContent>
  <xr:revisionPtr revIDLastSave="0" documentId="8_{BF9E4AAB-7A63-44F2-AF5D-276A5CC07846}" xr6:coauthVersionLast="47" xr6:coauthVersionMax="47" xr10:uidLastSave="{00000000-0000-0000-0000-000000000000}"/>
  <bookViews>
    <workbookView xWindow="-110" yWindow="-110" windowWidth="19420" windowHeight="10420" xr2:uid="{F71C845C-5415-432B-B46B-3DDF222A99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B7" i="1"/>
  <c r="C7" i="1"/>
  <c r="D7" i="1"/>
  <c r="B8" i="1"/>
  <c r="C8" i="1"/>
  <c r="D8" i="1"/>
  <c r="C6" i="1"/>
  <c r="D6" i="1"/>
  <c r="B6" i="1"/>
  <c r="D3" i="1"/>
  <c r="D4" i="1" s="1"/>
  <c r="D2" i="1"/>
  <c r="C4" i="1"/>
  <c r="B4" i="1"/>
</calcChain>
</file>

<file path=xl/sharedStrings.xml><?xml version="1.0" encoding="utf-8"?>
<sst xmlns="http://schemas.openxmlformats.org/spreadsheetml/2006/main" count="9" uniqueCount="9">
  <si>
    <t>T</t>
  </si>
  <si>
    <t>not T</t>
  </si>
  <si>
    <t>C</t>
  </si>
  <si>
    <t>not C</t>
  </si>
  <si>
    <t>lift</t>
  </si>
  <si>
    <t>all_conf</t>
  </si>
  <si>
    <t>cosine</t>
  </si>
  <si>
    <t>kulc</t>
  </si>
  <si>
    <t>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</si>
</sst>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"/>
  </numFmts>
  <fonts count="1" x14ac:knownFonts="1">
    <font>
      <sz val="11"/>
      <color theme="1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60F1-499D-42CD-94E1-314E0E537D05}">
  <dimension ref="A1:D16"/>
  <sheetViews>
    <sheetView tabSelected="1" workbookViewId="0">
      <selection activeCell="B14" sqref="B14"/>
    </sheetView>
  </sheetViews>
  <sheetFormatPr defaultRowHeight="15" x14ac:dyDescent="0.25"/>
  <cols>
    <col min="2" max="2" width="12" bestFit="1" customWidth="1"/>
    <col min="3" max="4" width="9.875" bestFit="1" customWidth="1"/>
  </cols>
  <sheetData>
    <row r="1" spans="1:4" x14ac:dyDescent="0.25">
      <c r="B1" t="s">
        <v>2</v>
      </c>
      <c r="C1" t="s">
        <v>3</v>
      </c>
    </row>
    <row r="2" spans="1:4" x14ac:dyDescent="0.25">
      <c r="A2" t="s">
        <v>0</v>
      </c>
      <c r="B2">
        <v>742</v>
      </c>
      <c r="C2">
        <v>136</v>
      </c>
      <c r="D2">
        <f>SUM(B2:C2)</f>
        <v>878</v>
      </c>
    </row>
    <row r="3" spans="1:4" x14ac:dyDescent="0.25">
      <c r="A3" t="s">
        <v>1</v>
      </c>
      <c r="B3">
        <v>66</v>
      </c>
      <c r="C3">
        <v>469</v>
      </c>
      <c r="D3">
        <f>SUM(B3:C3)</f>
        <v>535</v>
      </c>
    </row>
    <row r="4" spans="1:4" x14ac:dyDescent="0.25">
      <c r="B4">
        <f>SUM(B2:B3)</f>
        <v>808</v>
      </c>
      <c r="C4">
        <f t="shared" ref="C4:D4" si="0">SUM(C2:C3)</f>
        <v>605</v>
      </c>
      <c r="D4">
        <f t="shared" si="0"/>
        <v>1413</v>
      </c>
    </row>
    <row r="6" spans="1:4" x14ac:dyDescent="0.25">
      <c r="B6" s="2">
        <f>B2/$D$4</f>
        <v>0.52512384996461425</v>
      </c>
      <c r="C6" s="2">
        <f t="shared" ref="C6:D6" si="1">C2/$D$4</f>
        <v>9.6249115357395609E-2</v>
      </c>
      <c r="D6" s="2">
        <f t="shared" si="1"/>
        <v>0.62137296532200992</v>
      </c>
    </row>
    <row r="7" spans="1:4" x14ac:dyDescent="0.25">
      <c r="B7" s="2">
        <f t="shared" ref="B7:D7" si="2">B3/$D$4</f>
        <v>4.6709129511677279E-2</v>
      </c>
      <c r="C7" s="2">
        <f t="shared" si="2"/>
        <v>0.33191790516631281</v>
      </c>
      <c r="D7" s="2">
        <f t="shared" si="2"/>
        <v>0.37862703467799008</v>
      </c>
    </row>
    <row r="8" spans="1:4" x14ac:dyDescent="0.25">
      <c r="B8" s="2">
        <f t="shared" ref="B8:D8" si="3">B4/$D$4</f>
        <v>0.57183297947629153</v>
      </c>
      <c r="C8" s="2">
        <f t="shared" si="3"/>
        <v>0.42816702052370842</v>
      </c>
      <c r="D8" s="2">
        <f t="shared" si="3"/>
        <v>1</v>
      </c>
    </row>
    <row r="10" spans="1:4" x14ac:dyDescent="0.25">
      <c r="A10" t="s">
        <v>4</v>
      </c>
      <c r="B10" s="1">
        <f>B6/(B8*D6)</f>
        <v>1.4778834660231399</v>
      </c>
    </row>
    <row r="11" spans="1:4" x14ac:dyDescent="0.25">
      <c r="A11" t="s">
        <v>5</v>
      </c>
      <c r="B11" s="1">
        <f>B2/MAX(B4,D2)</f>
        <v>0.84510250569476086</v>
      </c>
    </row>
    <row r="12" spans="1:4" x14ac:dyDescent="0.25">
      <c r="A12" t="s">
        <v>6</v>
      </c>
      <c r="B12" s="1">
        <f>B2/SQRT(B4*D2)</f>
        <v>0.8809494057419639</v>
      </c>
    </row>
    <row r="13" spans="1:4" x14ac:dyDescent="0.25">
      <c r="A13" t="s">
        <v>7</v>
      </c>
      <c r="B13" s="1">
        <f>0.5*(B2/B4+B2/D2)</f>
        <v>0.88170966868896461</v>
      </c>
    </row>
    <row r="14" spans="1:4" x14ac:dyDescent="0.25">
      <c r="A14" t="s">
        <v>8</v>
      </c>
      <c r="B14" s="1">
        <f>ABS(B4-D2)/(B4+D2-B2)</f>
        <v>7.4152542372881353E-2</v>
      </c>
    </row>
    <row r="15" spans="1:4" x14ac:dyDescent="0.25">
      <c r="B15" s="2"/>
    </row>
    <row r="16" spans="1:4" x14ac:dyDescent="0.25">
      <c r="B16" s="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Rissman</dc:creator>
  <cp:lastModifiedBy>Joseph Rissman</cp:lastModifiedBy>
  <dcterms:created xsi:type="dcterms:W3CDTF">2024-03-28T00:09:06Z</dcterms:created>
  <dcterms:modified xsi:type="dcterms:W3CDTF">2024-03-28T01:12:50Z</dcterms:modified>
</cp:coreProperties>
</file>