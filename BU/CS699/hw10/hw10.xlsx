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hw10/"/>
    </mc:Choice>
  </mc:AlternateContent>
  <xr:revisionPtr revIDLastSave="0" documentId="8_{F241EE33-47AB-4F01-83C8-31D61F3A677F}" xr6:coauthVersionLast="47" xr6:coauthVersionMax="47" xr10:uidLastSave="{00000000-0000-0000-0000-000000000000}"/>
  <bookViews>
    <workbookView xWindow="-110" yWindow="-110" windowWidth="19420" windowHeight="10420" activeTab="1" xr2:uid="{A458EBD7-8C40-4F56-BE5C-3AC56AE0EC10}"/>
  </bookViews>
  <sheets>
    <sheet name="p1" sheetId="1" r:id="rId1"/>
    <sheet name="p2" sheetId="2" r:id="rId2"/>
    <sheet name="p3" sheetId="3" r:id="rId3"/>
    <sheet name="p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2" l="1"/>
  <c r="C52" i="2"/>
  <c r="D5" i="2"/>
  <c r="D6" i="2"/>
  <c r="D7" i="2"/>
  <c r="D8" i="2"/>
  <c r="D9" i="2"/>
  <c r="D10" i="2"/>
  <c r="D11" i="2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4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4" i="2"/>
  <c r="D3" i="2"/>
  <c r="C3" i="2"/>
  <c r="E12" i="1" a="1"/>
  <c r="E12" i="1" s="1"/>
  <c r="E3" i="1"/>
  <c r="E4" i="1"/>
  <c r="E5" i="1"/>
  <c r="E6" i="1"/>
  <c r="D3" i="1"/>
  <c r="D4" i="1"/>
  <c r="D5" i="1"/>
  <c r="D6" i="1"/>
  <c r="D7" i="1"/>
  <c r="E7" i="1" s="1"/>
  <c r="D8" i="1"/>
  <c r="E8" i="1" s="1"/>
  <c r="D9" i="1"/>
  <c r="E9" i="1" s="1"/>
  <c r="D10" i="1"/>
  <c r="E10" i="1" s="1"/>
  <c r="D11" i="1"/>
  <c r="E11" i="1" s="1"/>
  <c r="D2" i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<sst xmlns="http://schemas.openxmlformats.org/spreadsheetml/2006/main" count="90" uniqueCount="90">
  <si>
    <t>Error</t>
  </si>
  <si>
    <t>Xt</t>
  </si>
  <si>
    <t>Yt</t>
  </si>
  <si>
    <t>Predicted logYt</t>
  </si>
  <si>
    <t>Predicted Yt</t>
  </si>
  <si>
    <t>Time</t>
  </si>
  <si>
    <t>X</t>
  </si>
  <si>
    <t>Year</t>
  </si>
  <si>
    <t>Exports</t>
  </si>
  <si>
    <t>Quarter</t>
  </si>
  <si>
    <t>Trips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</si>
  <si>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</si>
  <si>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</si>
  <si>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</si>
  <si>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</si>
  <si>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</si>
  <si>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</si>
  <si>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</si>
  <si>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</si>
  <si>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</si>
  <si>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</si>
  <si>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</si>
  <si>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</si>
  <si>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</si>
  <si>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</si>
  <si>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</si>
  <si>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</si>
  <si>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</si>
  <si>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</si>
  <si>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</si>
  <si>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</si>
  <si>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</si>
  <si>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</si>
  <si>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</si>
  <si>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</si>
  <si>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</si>
  <si>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</si>
  <si>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</si>
  <si>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</si>
  <si>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</si>
  <si>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</si>
  <si>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</si>
  <si>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</si>
  <si>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</si>
  <si>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</si>
  <si>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</si>
  <si>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</si>
  <si>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</si>
  <si>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</si>
  <si>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</si>
  <si>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</si>
  <si>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</si>
  <si>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</si>
  <si>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</si>
  <si>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</si>
  <si>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</si>
  <si>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</si>
  <si>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</si>
  <si>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</si>
  <si>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</si>
  <si>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</si>
  <si>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</si>
  <si>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</si>
  <si>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</si>
  <si>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</si>
  <si>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</si>
  <si>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</si>
  <si>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</si>
  <si>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</si>
  <si>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</si>
  <si>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</si>
  <si>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</si>
  <si>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</si>
  <si>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</si>
  <si>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</si>
  <si>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</si>
  <si>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</si>
  <si>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</si>
  <si>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</si>
  <si>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</si>
  <si>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</si>
  <si>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</si>
  <si>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</si>
  <si>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</si>
  <si>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</si>
  <si>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</si>
  <si>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</si>
  <si>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RMSE</t>
  </si>
  <si>
    <t>F(α=0.2)</t>
  </si>
  <si>
    <t>F(α=0.7)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</si>
</sst>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22FA-305B-4165-AF7B-F3242160598D}">
  <dimension ref="A1:E12"/>
  <sheetViews>
    <sheetView workbookViewId="0">
      <selection activeCell="E12" sqref="E12"/>
    </sheetView>
  </sheetViews>
  <sheetFormatPr defaultRowHeight="14.5" x14ac:dyDescent="0.35"/>
  <cols>
    <col min="1" max="2" width="8.75" bestFit="1" customWidth="1"/>
    <col min="3" max="3" width="15.83203125" bestFit="1" customWidth="1"/>
    <col min="4" max="4" width="12.8320312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5">
      <c r="A2">
        <v>1</v>
      </c>
      <c r="B2">
        <v>1242</v>
      </c>
      <c r="C2">
        <v>7.28</v>
      </c>
      <c r="D2">
        <f>EXP(C2)</f>
        <v>1450.9880251144575</v>
      </c>
      <c r="E2">
        <f>B2-D2</f>
        <v>-208.98802511445751</v>
      </c>
    </row>
    <row r="3" spans="1:5" x14ac:dyDescent="0.35">
      <c r="A3">
        <v>2</v>
      </c>
      <c r="B3">
        <v>1263</v>
      </c>
      <c r="C3">
        <v>7.32</v>
      </c>
      <c r="D3">
        <f t="shared" ref="D3:D11" si="0">EXP(C3)</f>
        <v>1510.2039697632631</v>
      </c>
      <c r="E3">
        <f t="shared" ref="E3:E11" si="1">B3-D3</f>
        <v>-247.2039697632631</v>
      </c>
    </row>
    <row r="4" spans="1:5" x14ac:dyDescent="0.35">
      <c r="A4">
        <v>3</v>
      </c>
      <c r="B4">
        <v>1292</v>
      </c>
      <c r="C4">
        <v>7.21</v>
      </c>
      <c r="D4">
        <f t="shared" si="0"/>
        <v>1352.8922673742566</v>
      </c>
      <c r="E4">
        <f t="shared" si="1"/>
        <v>-60.892267374256562</v>
      </c>
    </row>
    <row r="5" spans="1:5" x14ac:dyDescent="0.35">
      <c r="A5">
        <v>4</v>
      </c>
      <c r="B5">
        <v>1316</v>
      </c>
      <c r="C5">
        <v>7.38</v>
      </c>
      <c r="D5">
        <f t="shared" si="0"/>
        <v>1603.5897678325152</v>
      </c>
      <c r="E5">
        <f t="shared" si="1"/>
        <v>-287.58976783251524</v>
      </c>
    </row>
    <row r="6" spans="1:5" x14ac:dyDescent="0.35">
      <c r="A6">
        <v>5</v>
      </c>
      <c r="B6">
        <v>1378</v>
      </c>
      <c r="C6">
        <v>7.49</v>
      </c>
      <c r="D6">
        <f t="shared" si="0"/>
        <v>1790.0520918436703</v>
      </c>
      <c r="E6">
        <f t="shared" si="1"/>
        <v>-412.05209184367027</v>
      </c>
    </row>
    <row r="7" spans="1:5" x14ac:dyDescent="0.35">
      <c r="A7">
        <v>6</v>
      </c>
      <c r="B7">
        <v>1428</v>
      </c>
      <c r="C7">
        <v>7.56</v>
      </c>
      <c r="D7">
        <f t="shared" si="0"/>
        <v>1919.8455133735592</v>
      </c>
      <c r="E7">
        <f t="shared" si="1"/>
        <v>-491.84551337355924</v>
      </c>
    </row>
    <row r="8" spans="1:5" x14ac:dyDescent="0.35">
      <c r="A8">
        <v>7</v>
      </c>
      <c r="B8">
        <v>1492</v>
      </c>
      <c r="C8">
        <v>7.52</v>
      </c>
      <c r="D8">
        <f t="shared" si="0"/>
        <v>1844.5672940532859</v>
      </c>
      <c r="E8">
        <f t="shared" si="1"/>
        <v>-352.56729405328588</v>
      </c>
    </row>
    <row r="9" spans="1:5" x14ac:dyDescent="0.35">
      <c r="A9">
        <v>8</v>
      </c>
      <c r="B9">
        <v>1612</v>
      </c>
      <c r="C9">
        <v>7.43</v>
      </c>
      <c r="D9">
        <f t="shared" si="0"/>
        <v>1685.8075733666619</v>
      </c>
      <c r="E9">
        <f t="shared" si="1"/>
        <v>-73.807573366661927</v>
      </c>
    </row>
    <row r="10" spans="1:5" x14ac:dyDescent="0.35">
      <c r="A10">
        <v>9</v>
      </c>
      <c r="B10">
        <v>1783</v>
      </c>
      <c r="C10">
        <v>7.47</v>
      </c>
      <c r="D10">
        <f t="shared" si="0"/>
        <v>1754.6066855751467</v>
      </c>
      <c r="E10">
        <f t="shared" si="1"/>
        <v>28.393314424853315</v>
      </c>
    </row>
    <row r="11" spans="1:5" x14ac:dyDescent="0.35">
      <c r="A11">
        <v>10</v>
      </c>
      <c r="B11">
        <v>2005</v>
      </c>
      <c r="C11">
        <v>7.67</v>
      </c>
      <c r="D11">
        <f t="shared" si="0"/>
        <v>2143.0814452477584</v>
      </c>
      <c r="E11">
        <f t="shared" si="1"/>
        <v>-138.08144524775844</v>
      </c>
    </row>
    <row r="12" spans="1:5" x14ac:dyDescent="0.35">
      <c r="E12" cm="1">
        <f t="array" ref="E12">SQRT(SUM(E2:E11^2)/10)</f>
        <v>274.32178113711814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C99D-B450-45AD-B981-7784CF04EDBE}">
  <dimension ref="A1:D52"/>
  <sheetViews>
    <sheetView tabSelected="1" topLeftCell="A45" workbookViewId="0">
      <selection activeCell="C2" sqref="C2"/>
    </sheetView>
  </sheetViews>
  <sheetFormatPr defaultRowHeight="14.5" x14ac:dyDescent="0.35"/>
  <cols>
    <col min="3" max="4" width="9.75" style="1" bestFit="1" customWidth="1"/>
  </cols>
  <sheetData>
    <row r="1" spans="1:4" x14ac:dyDescent="0.35">
      <c r="A1" t="s">
        <v>5</v>
      </c>
      <c r="B1" t="s">
        <v>6</v>
      </c>
      <c r="C1" s="1" t="s">
        <v>88</v>
      </c>
      <c r="D1" s="1" t="s">
        <v>89</v>
      </c>
    </row>
    <row r="2" spans="1:4" x14ac:dyDescent="0.35">
      <c r="A2">
        <v>1</v>
      </c>
      <c r="B2">
        <v>4.1965764769999998</v>
      </c>
    </row>
    <row r="3" spans="1:4" x14ac:dyDescent="0.35">
      <c r="A3">
        <v>2</v>
      </c>
      <c r="B3">
        <v>4.0298242499999999</v>
      </c>
      <c r="C3" s="1">
        <f>B2</f>
        <v>4.1965764769999998</v>
      </c>
      <c r="D3" s="1">
        <f>B2</f>
        <v>4.1965764769999998</v>
      </c>
    </row>
    <row r="4" spans="1:4" x14ac:dyDescent="0.35">
      <c r="A4">
        <v>3</v>
      </c>
      <c r="B4">
        <v>4.1315485040000004</v>
      </c>
      <c r="C4" s="1">
        <f>0.2*$B3+0.8*C3</f>
        <v>4.1632260316000007</v>
      </c>
      <c r="D4" s="1">
        <f>0.7*$B3+0.3*D3</f>
        <v>4.079849918099999</v>
      </c>
    </row>
    <row r="5" spans="1:4" x14ac:dyDescent="0.35">
      <c r="A5">
        <v>4</v>
      </c>
      <c r="B5">
        <v>4.0870654560000004</v>
      </c>
      <c r="C5" s="1">
        <f t="shared" ref="C5:C51" si="0">0.2*$B4+0.8*C4</f>
        <v>4.1568905260800006</v>
      </c>
      <c r="D5" s="1">
        <f t="shared" ref="D5:D51" si="1">0.7*$B4+0.3*D4</f>
        <v>4.1160389282300001</v>
      </c>
    </row>
    <row r="6" spans="1:4" x14ac:dyDescent="0.35">
      <c r="A6">
        <v>5</v>
      </c>
      <c r="B6">
        <v>4.0974044909999998</v>
      </c>
      <c r="C6" s="1">
        <f t="shared" si="0"/>
        <v>4.1429255120640009</v>
      </c>
      <c r="D6" s="1">
        <f t="shared" si="1"/>
        <v>4.0957574976690001</v>
      </c>
    </row>
    <row r="7" spans="1:4" x14ac:dyDescent="0.35">
      <c r="A7">
        <v>6</v>
      </c>
      <c r="B7">
        <v>4.2355788619999997</v>
      </c>
      <c r="C7" s="1">
        <f t="shared" si="0"/>
        <v>4.1338213078512007</v>
      </c>
      <c r="D7" s="1">
        <f t="shared" si="1"/>
        <v>4.0969103930006998</v>
      </c>
    </row>
    <row r="8" spans="1:4" x14ac:dyDescent="0.35">
      <c r="A8">
        <v>7</v>
      </c>
      <c r="B8">
        <v>4.552147239</v>
      </c>
      <c r="C8" s="1">
        <f t="shared" si="0"/>
        <v>4.1541728186809603</v>
      </c>
      <c r="D8" s="1">
        <f t="shared" si="1"/>
        <v>4.1939783213002091</v>
      </c>
    </row>
    <row r="9" spans="1:4" x14ac:dyDescent="0.35">
      <c r="A9">
        <v>8</v>
      </c>
      <c r="B9">
        <v>4.6303818029999997</v>
      </c>
      <c r="C9" s="1">
        <f t="shared" si="0"/>
        <v>4.2337677027447684</v>
      </c>
      <c r="D9" s="1">
        <f t="shared" si="1"/>
        <v>4.4446965636900622</v>
      </c>
    </row>
    <row r="10" spans="1:4" x14ac:dyDescent="0.35">
      <c r="A10">
        <v>9</v>
      </c>
      <c r="B10">
        <v>4.9442970820000003</v>
      </c>
      <c r="C10" s="1">
        <f t="shared" si="0"/>
        <v>4.3130905227958145</v>
      </c>
      <c r="D10" s="1">
        <f t="shared" si="1"/>
        <v>4.5746762312070182</v>
      </c>
    </row>
    <row r="11" spans="1:4" x14ac:dyDescent="0.35">
      <c r="A11">
        <v>10</v>
      </c>
      <c r="B11">
        <v>4.9514658300000001</v>
      </c>
      <c r="C11" s="1">
        <f t="shared" si="0"/>
        <v>4.4393318346366524</v>
      </c>
      <c r="D11" s="1">
        <f t="shared" si="1"/>
        <v>4.8334108267621056</v>
      </c>
    </row>
    <row r="12" spans="1:4" x14ac:dyDescent="0.35">
      <c r="A12">
        <v>11</v>
      </c>
      <c r="B12">
        <v>5.1827148650000003</v>
      </c>
      <c r="C12" s="1">
        <f t="shared" si="0"/>
        <v>4.5417586337093221</v>
      </c>
      <c r="D12" s="1">
        <f t="shared" si="1"/>
        <v>4.9160493290286311</v>
      </c>
    </row>
    <row r="13" spans="1:4" x14ac:dyDescent="0.35">
      <c r="A13">
        <v>12</v>
      </c>
      <c r="B13">
        <v>5.3385512559999997</v>
      </c>
      <c r="C13" s="1">
        <f t="shared" si="0"/>
        <v>4.6699498799674579</v>
      </c>
      <c r="D13" s="1">
        <f t="shared" si="1"/>
        <v>5.1027152042085895</v>
      </c>
    </row>
    <row r="14" spans="1:4" x14ac:dyDescent="0.35">
      <c r="A14">
        <v>13</v>
      </c>
      <c r="B14">
        <v>5.78705274</v>
      </c>
      <c r="C14" s="1">
        <f t="shared" si="0"/>
        <v>4.8036701551739664</v>
      </c>
      <c r="D14" s="1">
        <f t="shared" si="1"/>
        <v>5.267800440462576</v>
      </c>
    </row>
    <row r="15" spans="1:4" x14ac:dyDescent="0.35">
      <c r="A15">
        <v>14</v>
      </c>
      <c r="B15">
        <v>6.3812301849999997</v>
      </c>
      <c r="C15" s="1">
        <f t="shared" si="0"/>
        <v>5.0003466721391732</v>
      </c>
      <c r="D15" s="1">
        <f t="shared" si="1"/>
        <v>5.6312770501387721</v>
      </c>
    </row>
    <row r="16" spans="1:4" x14ac:dyDescent="0.35">
      <c r="A16">
        <v>15</v>
      </c>
      <c r="B16">
        <v>8.2297870970000009</v>
      </c>
      <c r="C16" s="1">
        <f t="shared" si="0"/>
        <v>5.2765233747113385</v>
      </c>
      <c r="D16" s="1">
        <f t="shared" si="1"/>
        <v>6.1562442445416314</v>
      </c>
    </row>
    <row r="17" spans="1:4" x14ac:dyDescent="0.35">
      <c r="A17">
        <v>16</v>
      </c>
      <c r="B17">
        <v>7.2667019159999997</v>
      </c>
      <c r="C17" s="1">
        <f t="shared" si="0"/>
        <v>5.8671761191690708</v>
      </c>
      <c r="D17" s="1">
        <f t="shared" si="1"/>
        <v>7.6077242412624901</v>
      </c>
    </row>
    <row r="18" spans="1:4" x14ac:dyDescent="0.35">
      <c r="A18">
        <v>17</v>
      </c>
      <c r="B18">
        <v>8.0500131289999999</v>
      </c>
      <c r="C18" s="1">
        <f t="shared" si="0"/>
        <v>6.1470812785352571</v>
      </c>
      <c r="D18" s="1">
        <f t="shared" si="1"/>
        <v>7.3690086135787469</v>
      </c>
    </row>
    <row r="19" spans="1:4" x14ac:dyDescent="0.35">
      <c r="A19">
        <v>18</v>
      </c>
      <c r="B19">
        <v>8.7462744810000004</v>
      </c>
      <c r="C19" s="1">
        <f t="shared" si="0"/>
        <v>6.5276676486282064</v>
      </c>
      <c r="D19" s="1">
        <f t="shared" si="1"/>
        <v>7.8457117743736244</v>
      </c>
    </row>
    <row r="20" spans="1:4" x14ac:dyDescent="0.35">
      <c r="A20">
        <v>19</v>
      </c>
      <c r="B20">
        <v>9.0067729760000006</v>
      </c>
      <c r="C20" s="1">
        <f t="shared" si="0"/>
        <v>6.9713890151025657</v>
      </c>
      <c r="D20" s="1">
        <f t="shared" si="1"/>
        <v>8.4761056690120871</v>
      </c>
    </row>
    <row r="21" spans="1:4" x14ac:dyDescent="0.35">
      <c r="A21">
        <v>20</v>
      </c>
      <c r="B21">
        <v>9.5995924230000007</v>
      </c>
      <c r="C21" s="1">
        <f t="shared" si="0"/>
        <v>7.378465807282053</v>
      </c>
      <c r="D21" s="1">
        <f t="shared" si="1"/>
        <v>8.847572783903626</v>
      </c>
    </row>
    <row r="22" spans="1:4" x14ac:dyDescent="0.35">
      <c r="A22">
        <v>21</v>
      </c>
      <c r="B22">
        <v>10.26475063</v>
      </c>
      <c r="C22" s="1">
        <f t="shared" si="0"/>
        <v>7.8226911304256426</v>
      </c>
      <c r="D22" s="1">
        <f t="shared" si="1"/>
        <v>9.3739865312710879</v>
      </c>
    </row>
    <row r="23" spans="1:4" x14ac:dyDescent="0.35">
      <c r="A23">
        <v>22</v>
      </c>
      <c r="B23">
        <v>9.8960870219999997</v>
      </c>
      <c r="C23" s="1">
        <f t="shared" si="0"/>
        <v>8.3111030303405151</v>
      </c>
      <c r="D23" s="1">
        <f t="shared" si="1"/>
        <v>9.9975214003813271</v>
      </c>
    </row>
    <row r="24" spans="1:4" x14ac:dyDescent="0.35">
      <c r="A24">
        <v>23</v>
      </c>
      <c r="B24">
        <v>9.0637912029999992</v>
      </c>
      <c r="C24" s="1">
        <f t="shared" si="0"/>
        <v>8.6280998286724113</v>
      </c>
      <c r="D24" s="1">
        <f t="shared" si="1"/>
        <v>9.9265173355143972</v>
      </c>
    </row>
    <row r="25" spans="1:4" x14ac:dyDescent="0.35">
      <c r="A25">
        <v>24</v>
      </c>
      <c r="B25">
        <v>9.0331397639999995</v>
      </c>
      <c r="C25" s="1">
        <f t="shared" si="0"/>
        <v>8.7152381035379296</v>
      </c>
      <c r="D25" s="1">
        <f t="shared" si="1"/>
        <v>9.3226090427543173</v>
      </c>
    </row>
    <row r="26" spans="1:4" x14ac:dyDescent="0.35">
      <c r="A26">
        <v>25</v>
      </c>
      <c r="B26">
        <v>10.025681240000001</v>
      </c>
      <c r="C26" s="1">
        <f t="shared" si="0"/>
        <v>8.7788184356303436</v>
      </c>
      <c r="D26" s="1">
        <f t="shared" si="1"/>
        <v>9.1199805476262945</v>
      </c>
    </row>
    <row r="27" spans="1:4" x14ac:dyDescent="0.35">
      <c r="A27">
        <v>26</v>
      </c>
      <c r="B27">
        <v>9.59865499</v>
      </c>
      <c r="C27" s="1">
        <f t="shared" si="0"/>
        <v>9.028190996504275</v>
      </c>
      <c r="D27" s="1">
        <f t="shared" si="1"/>
        <v>9.7539710322878879</v>
      </c>
    </row>
    <row r="28" spans="1:4" x14ac:dyDescent="0.35">
      <c r="A28">
        <v>27</v>
      </c>
      <c r="B28">
        <v>9.8660502749999992</v>
      </c>
      <c r="C28" s="1">
        <f t="shared" si="0"/>
        <v>9.1422837952034204</v>
      </c>
      <c r="D28" s="1">
        <f t="shared" si="1"/>
        <v>9.6452498026863651</v>
      </c>
    </row>
    <row r="29" spans="1:4" x14ac:dyDescent="0.35">
      <c r="A29">
        <v>28</v>
      </c>
      <c r="B29">
        <v>10.44540726</v>
      </c>
      <c r="C29" s="1">
        <f t="shared" si="0"/>
        <v>9.2870370911627376</v>
      </c>
      <c r="D29" s="1">
        <f t="shared" si="1"/>
        <v>9.7998101333059076</v>
      </c>
    </row>
    <row r="30" spans="1:4" x14ac:dyDescent="0.35">
      <c r="A30">
        <v>29</v>
      </c>
      <c r="B30">
        <v>10.546966100000001</v>
      </c>
      <c r="C30" s="1">
        <f t="shared" si="0"/>
        <v>9.5187111249301903</v>
      </c>
      <c r="D30" s="1">
        <f t="shared" si="1"/>
        <v>10.251728121991771</v>
      </c>
    </row>
    <row r="31" spans="1:4" x14ac:dyDescent="0.35">
      <c r="A31">
        <v>30</v>
      </c>
      <c r="B31">
        <v>10.446519459999999</v>
      </c>
      <c r="C31" s="1">
        <f t="shared" si="0"/>
        <v>9.7243621199441534</v>
      </c>
      <c r="D31" s="1">
        <f t="shared" si="1"/>
        <v>10.458394706597531</v>
      </c>
    </row>
    <row r="32" spans="1:4" x14ac:dyDescent="0.35">
      <c r="A32">
        <v>31</v>
      </c>
      <c r="B32">
        <v>10.531309090000001</v>
      </c>
      <c r="C32" s="1">
        <f t="shared" si="0"/>
        <v>9.8687935879553237</v>
      </c>
      <c r="D32" s="1">
        <f t="shared" si="1"/>
        <v>10.450082033979259</v>
      </c>
    </row>
    <row r="33" spans="1:4" x14ac:dyDescent="0.35">
      <c r="A33">
        <v>32</v>
      </c>
      <c r="B33">
        <v>10.099492339999999</v>
      </c>
      <c r="C33" s="1">
        <f t="shared" si="0"/>
        <v>10.00129668836426</v>
      </c>
      <c r="D33" s="1">
        <f t="shared" si="1"/>
        <v>10.506940973193776</v>
      </c>
    </row>
    <row r="34" spans="1:4" x14ac:dyDescent="0.35">
      <c r="A34">
        <v>33</v>
      </c>
      <c r="B34">
        <v>10.211996729999999</v>
      </c>
      <c r="C34" s="1">
        <f t="shared" si="0"/>
        <v>10.020935818691409</v>
      </c>
      <c r="D34" s="1">
        <f t="shared" si="1"/>
        <v>10.221726929958132</v>
      </c>
    </row>
    <row r="35" spans="1:4" x14ac:dyDescent="0.35">
      <c r="A35">
        <v>34</v>
      </c>
      <c r="B35">
        <v>10.46668871</v>
      </c>
      <c r="C35" s="1">
        <f t="shared" si="0"/>
        <v>10.059148000953128</v>
      </c>
      <c r="D35" s="1">
        <f t="shared" si="1"/>
        <v>10.214915789987439</v>
      </c>
    </row>
    <row r="36" spans="1:4" x14ac:dyDescent="0.35">
      <c r="A36">
        <v>35</v>
      </c>
      <c r="B36">
        <v>11.12946049</v>
      </c>
      <c r="C36" s="1">
        <f t="shared" si="0"/>
        <v>10.140656142762502</v>
      </c>
      <c r="D36" s="1">
        <f t="shared" si="1"/>
        <v>10.391156833996231</v>
      </c>
    </row>
    <row r="37" spans="1:4" x14ac:dyDescent="0.35">
      <c r="A37">
        <v>36</v>
      </c>
      <c r="B37">
        <v>11.77666928</v>
      </c>
      <c r="C37" s="1">
        <f t="shared" si="0"/>
        <v>10.338417012210002</v>
      </c>
      <c r="D37" s="1">
        <f t="shared" si="1"/>
        <v>10.907969393198869</v>
      </c>
    </row>
    <row r="38" spans="1:4" x14ac:dyDescent="0.35">
      <c r="A38">
        <v>37</v>
      </c>
      <c r="B38">
        <v>11.900519510000001</v>
      </c>
      <c r="C38" s="1">
        <f t="shared" si="0"/>
        <v>10.626067465768001</v>
      </c>
      <c r="D38" s="1">
        <f t="shared" si="1"/>
        <v>11.51605931395966</v>
      </c>
    </row>
    <row r="39" spans="1:4" x14ac:dyDescent="0.35">
      <c r="A39">
        <v>38</v>
      </c>
      <c r="B39">
        <v>12.264322010000001</v>
      </c>
      <c r="C39" s="1">
        <f t="shared" si="0"/>
        <v>10.880957874614401</v>
      </c>
      <c r="D39" s="1">
        <f t="shared" si="1"/>
        <v>11.785181451187897</v>
      </c>
    </row>
    <row r="40" spans="1:4" x14ac:dyDescent="0.35">
      <c r="A40">
        <v>39</v>
      </c>
      <c r="B40">
        <v>12.274940900000001</v>
      </c>
      <c r="C40" s="1">
        <f t="shared" si="0"/>
        <v>11.15763070169152</v>
      </c>
      <c r="D40" s="1">
        <f t="shared" si="1"/>
        <v>12.120579842356369</v>
      </c>
    </row>
    <row r="41" spans="1:4" x14ac:dyDescent="0.35">
      <c r="A41">
        <v>40</v>
      </c>
      <c r="B41">
        <v>12.924744820000001</v>
      </c>
      <c r="C41" s="1">
        <f t="shared" si="0"/>
        <v>11.381092741353218</v>
      </c>
      <c r="D41" s="1">
        <f t="shared" si="1"/>
        <v>12.22863258270691</v>
      </c>
    </row>
    <row r="42" spans="1:4" x14ac:dyDescent="0.35">
      <c r="A42">
        <v>41</v>
      </c>
      <c r="B42">
        <v>14.3185381</v>
      </c>
      <c r="C42" s="1">
        <f t="shared" si="0"/>
        <v>11.689823157082575</v>
      </c>
      <c r="D42" s="1">
        <f t="shared" si="1"/>
        <v>12.715911148812072</v>
      </c>
    </row>
    <row r="43" spans="1:4" x14ac:dyDescent="0.35">
      <c r="A43">
        <v>42</v>
      </c>
      <c r="B43">
        <v>13.137065720000001</v>
      </c>
      <c r="C43" s="1">
        <f t="shared" si="0"/>
        <v>12.21556614566606</v>
      </c>
      <c r="D43" s="1">
        <f t="shared" si="1"/>
        <v>13.837750014643619</v>
      </c>
    </row>
    <row r="44" spans="1:4" x14ac:dyDescent="0.35">
      <c r="A44">
        <v>43</v>
      </c>
      <c r="B44">
        <v>13.01727331</v>
      </c>
      <c r="C44" s="1">
        <f t="shared" si="0"/>
        <v>12.399866060532849</v>
      </c>
      <c r="D44" s="1">
        <f t="shared" si="1"/>
        <v>13.347271008393086</v>
      </c>
    </row>
    <row r="45" spans="1:4" x14ac:dyDescent="0.35">
      <c r="A45">
        <v>44</v>
      </c>
      <c r="B45">
        <v>13.41306805</v>
      </c>
      <c r="C45" s="1">
        <f t="shared" si="0"/>
        <v>12.52334751042628</v>
      </c>
      <c r="D45" s="1">
        <f t="shared" si="1"/>
        <v>13.116272619517925</v>
      </c>
    </row>
    <row r="46" spans="1:4" x14ac:dyDescent="0.35">
      <c r="A46">
        <v>45</v>
      </c>
      <c r="B46">
        <v>14.66955244</v>
      </c>
      <c r="C46" s="1">
        <f t="shared" si="0"/>
        <v>12.701291618341026</v>
      </c>
      <c r="D46" s="1">
        <f t="shared" si="1"/>
        <v>13.324029420855377</v>
      </c>
    </row>
    <row r="47" spans="1:4" x14ac:dyDescent="0.35">
      <c r="A47">
        <v>46</v>
      </c>
      <c r="B47">
        <v>15.50426517</v>
      </c>
      <c r="C47" s="1">
        <f t="shared" si="0"/>
        <v>13.094943782672821</v>
      </c>
      <c r="D47" s="1">
        <f t="shared" si="1"/>
        <v>14.265895534256611</v>
      </c>
    </row>
    <row r="48" spans="1:4" x14ac:dyDescent="0.35">
      <c r="A48">
        <v>47</v>
      </c>
      <c r="B48">
        <v>16.218830579999999</v>
      </c>
      <c r="C48" s="1">
        <f t="shared" si="0"/>
        <v>13.576808060138259</v>
      </c>
      <c r="D48" s="1">
        <f t="shared" si="1"/>
        <v>15.132754279276984</v>
      </c>
    </row>
    <row r="49" spans="1:4" x14ac:dyDescent="0.35">
      <c r="A49">
        <v>48</v>
      </c>
      <c r="B49">
        <v>16.46102419</v>
      </c>
      <c r="C49" s="1">
        <f t="shared" si="0"/>
        <v>14.105212564110607</v>
      </c>
      <c r="D49" s="1">
        <f t="shared" si="1"/>
        <v>15.893007689783094</v>
      </c>
    </row>
    <row r="50" spans="1:4" x14ac:dyDescent="0.35">
      <c r="A50">
        <v>49</v>
      </c>
      <c r="B50">
        <v>17.427011650000001</v>
      </c>
      <c r="C50" s="1">
        <f t="shared" si="0"/>
        <v>14.576374889288486</v>
      </c>
      <c r="D50" s="1">
        <f t="shared" si="1"/>
        <v>16.290619239934927</v>
      </c>
    </row>
    <row r="51" spans="1:4" x14ac:dyDescent="0.35">
      <c r="A51">
        <v>50</v>
      </c>
      <c r="B51">
        <v>13.754170869999999</v>
      </c>
      <c r="C51" s="1">
        <f t="shared" si="0"/>
        <v>15.146502241430788</v>
      </c>
      <c r="D51" s="1">
        <f t="shared" si="1"/>
        <v>17.086093926980478</v>
      </c>
    </row>
    <row r="52" spans="1:4" x14ac:dyDescent="0.35">
      <c r="B52" t="s">
        <v>87</v>
      </c>
      <c r="C52" s="1">
        <f>SQRT(SUMXMY2($B3:$B51,C3:C51)/COUNT(C3:C51))</f>
        <v>1.422974637329657</v>
      </c>
      <c r="D52" s="1">
        <f>SQRT(SUMXMY2($B3:$B51,D3:D51)/COUNT(D3:D51))</f>
        <v>0.83062340046046723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C6D8-0400-4821-9C31-A17724F7C192}">
  <dimension ref="A1:B51"/>
  <sheetViews>
    <sheetView workbookViewId="0">
      <selection sqref="A1:B51"/>
    </sheetView>
  </sheetViews>
  <sheetFormatPr defaultRowHeight="14.5" x14ac:dyDescent="0.35"/>
  <sheetData>
    <row r="1" spans="1:2" x14ac:dyDescent="0.35">
      <c r="A1" t="s">
        <v>7</v>
      </c>
      <c r="B1" t="s">
        <v>8</v>
      </c>
    </row>
    <row r="2" spans="1:2" x14ac:dyDescent="0.35">
      <c r="A2">
        <v>1960</v>
      </c>
      <c r="B2">
        <v>4.9696300390000001</v>
      </c>
    </row>
    <row r="3" spans="1:2" x14ac:dyDescent="0.35">
      <c r="A3">
        <v>1961</v>
      </c>
      <c r="B3">
        <v>4.8996982070000001</v>
      </c>
    </row>
    <row r="4" spans="1:2" x14ac:dyDescent="0.35">
      <c r="A4">
        <v>1962</v>
      </c>
      <c r="B4">
        <v>4.8091224590000001</v>
      </c>
    </row>
    <row r="5" spans="1:2" x14ac:dyDescent="0.35">
      <c r="A5">
        <v>1963</v>
      </c>
      <c r="B5">
        <v>4.870028187</v>
      </c>
    </row>
    <row r="6" spans="1:2" x14ac:dyDescent="0.35">
      <c r="A6">
        <v>1964</v>
      </c>
      <c r="B6">
        <v>5.1035287260000004</v>
      </c>
    </row>
    <row r="7" spans="1:2" x14ac:dyDescent="0.35">
      <c r="A7">
        <v>1965</v>
      </c>
      <c r="B7">
        <v>4.9885706599999997</v>
      </c>
    </row>
    <row r="8" spans="1:2" x14ac:dyDescent="0.35">
      <c r="A8">
        <v>1966</v>
      </c>
      <c r="B8">
        <v>5.0184049079999999</v>
      </c>
    </row>
    <row r="9" spans="1:2" x14ac:dyDescent="0.35">
      <c r="A9">
        <v>1967</v>
      </c>
      <c r="B9">
        <v>5.0481606130000003</v>
      </c>
    </row>
    <row r="10" spans="1:2" x14ac:dyDescent="0.35">
      <c r="A10">
        <v>1968</v>
      </c>
      <c r="B10">
        <v>5.0822281169999997</v>
      </c>
    </row>
    <row r="11" spans="1:2" x14ac:dyDescent="0.35">
      <c r="A11">
        <v>1969</v>
      </c>
      <c r="B11">
        <v>5.0887341900000003</v>
      </c>
    </row>
    <row r="12" spans="1:2" x14ac:dyDescent="0.35">
      <c r="A12">
        <v>1970</v>
      </c>
      <c r="B12">
        <v>5.5498548169999999</v>
      </c>
    </row>
    <row r="13" spans="1:2" x14ac:dyDescent="0.35">
      <c r="A13">
        <v>1971</v>
      </c>
      <c r="B13">
        <v>5.391815169</v>
      </c>
    </row>
    <row r="14" spans="1:2" x14ac:dyDescent="0.35">
      <c r="A14">
        <v>1972</v>
      </c>
      <c r="B14">
        <v>5.5241183080000003</v>
      </c>
    </row>
    <row r="15" spans="1:2" x14ac:dyDescent="0.35">
      <c r="A15">
        <v>1973</v>
      </c>
      <c r="B15">
        <v>6.6690047029999997</v>
      </c>
    </row>
    <row r="16" spans="1:2" x14ac:dyDescent="0.35">
      <c r="A16">
        <v>1974</v>
      </c>
      <c r="B16">
        <v>8.1772311270000007</v>
      </c>
    </row>
    <row r="17" spans="1:2" x14ac:dyDescent="0.35">
      <c r="A17">
        <v>1975</v>
      </c>
      <c r="B17">
        <v>8.2127485979999992</v>
      </c>
    </row>
    <row r="18" spans="1:2" x14ac:dyDescent="0.35">
      <c r="A18">
        <v>1976</v>
      </c>
      <c r="B18">
        <v>7.9631463150000004</v>
      </c>
    </row>
    <row r="19" spans="1:2" x14ac:dyDescent="0.35">
      <c r="A19">
        <v>1977</v>
      </c>
      <c r="B19">
        <v>7.6392014960000001</v>
      </c>
    </row>
    <row r="20" spans="1:2" x14ac:dyDescent="0.35">
      <c r="A20">
        <v>1978</v>
      </c>
      <c r="B20">
        <v>7.930378503</v>
      </c>
    </row>
    <row r="21" spans="1:2" x14ac:dyDescent="0.35">
      <c r="A21">
        <v>1979</v>
      </c>
      <c r="B21">
        <v>8.7430280190000005</v>
      </c>
    </row>
    <row r="22" spans="1:2" x14ac:dyDescent="0.35">
      <c r="A22">
        <v>1980</v>
      </c>
      <c r="B22">
        <v>9.8086466219999995</v>
      </c>
    </row>
    <row r="23" spans="1:2" x14ac:dyDescent="0.35">
      <c r="A23">
        <v>1981</v>
      </c>
      <c r="B23">
        <v>9.5061719940000007</v>
      </c>
    </row>
    <row r="24" spans="1:2" x14ac:dyDescent="0.35">
      <c r="A24">
        <v>1982</v>
      </c>
      <c r="B24">
        <v>8.4666595519999994</v>
      </c>
    </row>
    <row r="25" spans="1:2" x14ac:dyDescent="0.35">
      <c r="A25">
        <v>1983</v>
      </c>
      <c r="B25">
        <v>7.613677</v>
      </c>
    </row>
    <row r="26" spans="1:2" x14ac:dyDescent="0.35">
      <c r="A26">
        <v>1984</v>
      </c>
      <c r="B26">
        <v>7.4834440530000004</v>
      </c>
    </row>
    <row r="27" spans="1:2" x14ac:dyDescent="0.35">
      <c r="A27">
        <v>1985</v>
      </c>
      <c r="B27">
        <v>6.9755591209999999</v>
      </c>
    </row>
    <row r="28" spans="1:2" x14ac:dyDescent="0.35">
      <c r="A28">
        <v>1986</v>
      </c>
      <c r="B28">
        <v>6.9932278979999998</v>
      </c>
    </row>
    <row r="29" spans="1:2" x14ac:dyDescent="0.35">
      <c r="A29">
        <v>1987</v>
      </c>
      <c r="B29">
        <v>7.472849772</v>
      </c>
    </row>
    <row r="30" spans="1:2" x14ac:dyDescent="0.35">
      <c r="A30">
        <v>1988</v>
      </c>
      <c r="B30">
        <v>8.464351851</v>
      </c>
    </row>
    <row r="31" spans="1:2" x14ac:dyDescent="0.35">
      <c r="A31">
        <v>1989</v>
      </c>
      <c r="B31">
        <v>8.9133680460000004</v>
      </c>
    </row>
    <row r="32" spans="1:2" x14ac:dyDescent="0.35">
      <c r="A32">
        <v>1990</v>
      </c>
      <c r="B32">
        <v>9.2292965290000009</v>
      </c>
    </row>
    <row r="33" spans="1:2" x14ac:dyDescent="0.35">
      <c r="A33">
        <v>1991</v>
      </c>
      <c r="B33">
        <v>9.6360197040000006</v>
      </c>
    </row>
    <row r="34" spans="1:2" x14ac:dyDescent="0.35">
      <c r="A34">
        <v>1992</v>
      </c>
      <c r="B34">
        <v>9.680747126</v>
      </c>
    </row>
    <row r="35" spans="1:2" x14ac:dyDescent="0.35">
      <c r="A35">
        <v>1993</v>
      </c>
      <c r="B35">
        <v>9.5192156449999992</v>
      </c>
    </row>
    <row r="36" spans="1:2" x14ac:dyDescent="0.35">
      <c r="A36">
        <v>1994</v>
      </c>
      <c r="B36">
        <v>9.8640466129999993</v>
      </c>
    </row>
    <row r="37" spans="1:2" x14ac:dyDescent="0.35">
      <c r="A37">
        <v>1995</v>
      </c>
      <c r="B37">
        <v>10.60551457</v>
      </c>
    </row>
    <row r="38" spans="1:2" x14ac:dyDescent="0.35">
      <c r="A38">
        <v>1996</v>
      </c>
      <c r="B38">
        <v>10.71072187</v>
      </c>
    </row>
    <row r="39" spans="1:2" x14ac:dyDescent="0.35">
      <c r="A39">
        <v>1997</v>
      </c>
      <c r="B39">
        <v>11.079797149999999</v>
      </c>
    </row>
    <row r="40" spans="1:2" x14ac:dyDescent="0.35">
      <c r="A40">
        <v>1998</v>
      </c>
      <c r="B40">
        <v>10.484799049999999</v>
      </c>
    </row>
    <row r="41" spans="1:2" x14ac:dyDescent="0.35">
      <c r="A41">
        <v>1999</v>
      </c>
      <c r="B41">
        <v>10.26828081</v>
      </c>
    </row>
    <row r="42" spans="1:2" x14ac:dyDescent="0.35">
      <c r="A42">
        <v>2000</v>
      </c>
      <c r="B42">
        <v>10.66464335</v>
      </c>
    </row>
    <row r="43" spans="1:2" x14ac:dyDescent="0.35">
      <c r="A43">
        <v>2001</v>
      </c>
      <c r="B43">
        <v>9.6660705359999994</v>
      </c>
    </row>
    <row r="44" spans="1:2" x14ac:dyDescent="0.35">
      <c r="A44">
        <v>2002</v>
      </c>
      <c r="B44">
        <v>9.1323864399999994</v>
      </c>
    </row>
    <row r="45" spans="1:2" x14ac:dyDescent="0.35">
      <c r="A45">
        <v>2003</v>
      </c>
      <c r="B45">
        <v>9.0375191019999992</v>
      </c>
    </row>
    <row r="46" spans="1:2" x14ac:dyDescent="0.35">
      <c r="A46">
        <v>2004</v>
      </c>
      <c r="B46">
        <v>9.6253680670000001</v>
      </c>
    </row>
    <row r="47" spans="1:2" x14ac:dyDescent="0.35">
      <c r="A47">
        <v>2005</v>
      </c>
      <c r="B47">
        <v>9.9963982750000007</v>
      </c>
    </row>
    <row r="48" spans="1:2" x14ac:dyDescent="0.35">
      <c r="A48">
        <v>2006</v>
      </c>
      <c r="B48">
        <v>10.65479167</v>
      </c>
    </row>
    <row r="49" spans="1:2" x14ac:dyDescent="0.35">
      <c r="A49">
        <v>2007</v>
      </c>
      <c r="B49">
        <v>11.49790694</v>
      </c>
    </row>
    <row r="50" spans="1:2" x14ac:dyDescent="0.35">
      <c r="A50">
        <v>2008</v>
      </c>
      <c r="B50">
        <v>12.51439847</v>
      </c>
    </row>
    <row r="51" spans="1:2" x14ac:dyDescent="0.35">
      <c r="A51">
        <v>2009</v>
      </c>
      <c r="B51">
        <v>11.01165643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8AFA-1C69-4FDE-A9F9-B66DD588B272}">
  <dimension ref="A1:B77"/>
  <sheetViews>
    <sheetView workbookViewId="0">
      <selection sqref="A1:B51"/>
    </sheetView>
  </sheetViews>
  <sheetFormatPr defaultRowHeight="14.5" x14ac:dyDescent="0.35"/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>
        <v>11.80603762</v>
      </c>
    </row>
    <row r="3" spans="1:2" x14ac:dyDescent="0.35">
      <c r="A3" t="s">
        <v>12</v>
      </c>
      <c r="B3">
        <v>9.2756620739999995</v>
      </c>
    </row>
    <row r="4" spans="1:2" x14ac:dyDescent="0.35">
      <c r="A4" t="s">
        <v>13</v>
      </c>
      <c r="B4">
        <v>8.6424885899999992</v>
      </c>
    </row>
    <row r="5" spans="1:2" x14ac:dyDescent="0.35">
      <c r="A5" t="s">
        <v>14</v>
      </c>
      <c r="B5">
        <v>9.2995237809999995</v>
      </c>
    </row>
    <row r="6" spans="1:2" x14ac:dyDescent="0.35">
      <c r="A6" t="s">
        <v>15</v>
      </c>
      <c r="B6">
        <v>11.17202706</v>
      </c>
    </row>
    <row r="7" spans="1:2" x14ac:dyDescent="0.35">
      <c r="A7" t="s">
        <v>16</v>
      </c>
      <c r="B7">
        <v>9.6076131870000001</v>
      </c>
    </row>
    <row r="8" spans="1:2" x14ac:dyDescent="0.35">
      <c r="A8" t="s">
        <v>17</v>
      </c>
      <c r="B8">
        <v>8.9138865200000001</v>
      </c>
    </row>
    <row r="9" spans="1:2" x14ac:dyDescent="0.35">
      <c r="A9" t="s">
        <v>18</v>
      </c>
      <c r="B9">
        <v>9.0256883620000004</v>
      </c>
    </row>
    <row r="10" spans="1:2" x14ac:dyDescent="0.35">
      <c r="A10" t="s">
        <v>19</v>
      </c>
      <c r="B10">
        <v>11.070865789999999</v>
      </c>
    </row>
    <row r="11" spans="1:2" x14ac:dyDescent="0.35">
      <c r="A11" t="s">
        <v>20</v>
      </c>
      <c r="B11">
        <v>9.1962623220000008</v>
      </c>
    </row>
    <row r="12" spans="1:2" x14ac:dyDescent="0.35">
      <c r="A12" t="s">
        <v>21</v>
      </c>
      <c r="B12">
        <v>9.3475058059999991</v>
      </c>
    </row>
    <row r="13" spans="1:2" x14ac:dyDescent="0.35">
      <c r="A13" t="s">
        <v>22</v>
      </c>
      <c r="B13">
        <v>8.9840142170000004</v>
      </c>
    </row>
    <row r="14" spans="1:2" x14ac:dyDescent="0.35">
      <c r="A14" t="s">
        <v>23</v>
      </c>
      <c r="B14">
        <v>10.6723143</v>
      </c>
    </row>
    <row r="15" spans="1:2" x14ac:dyDescent="0.35">
      <c r="A15" t="s">
        <v>24</v>
      </c>
      <c r="B15">
        <v>9.5334921440000002</v>
      </c>
    </row>
    <row r="16" spans="1:2" x14ac:dyDescent="0.35">
      <c r="A16" t="s">
        <v>25</v>
      </c>
      <c r="B16">
        <v>8.8071590870000005</v>
      </c>
    </row>
    <row r="17" spans="1:2" x14ac:dyDescent="0.35">
      <c r="A17" t="s">
        <v>26</v>
      </c>
      <c r="B17">
        <v>8.9769448480000005</v>
      </c>
    </row>
    <row r="18" spans="1:2" x14ac:dyDescent="0.35">
      <c r="A18" t="s">
        <v>27</v>
      </c>
      <c r="B18">
        <v>10.84261944</v>
      </c>
    </row>
    <row r="19" spans="1:2" x14ac:dyDescent="0.35">
      <c r="A19" t="s">
        <v>28</v>
      </c>
      <c r="B19">
        <v>9.2327454259999993</v>
      </c>
    </row>
    <row r="20" spans="1:2" x14ac:dyDescent="0.35">
      <c r="A20" t="s">
        <v>29</v>
      </c>
      <c r="B20">
        <v>8.8362141350000005</v>
      </c>
    </row>
    <row r="21" spans="1:2" x14ac:dyDescent="0.35">
      <c r="A21" t="s">
        <v>30</v>
      </c>
      <c r="B21">
        <v>9.2475412620000004</v>
      </c>
    </row>
    <row r="22" spans="1:2" x14ac:dyDescent="0.35">
      <c r="A22" t="s">
        <v>31</v>
      </c>
      <c r="B22">
        <v>10.50155897</v>
      </c>
    </row>
    <row r="23" spans="1:2" x14ac:dyDescent="0.35">
      <c r="A23" t="s">
        <v>32</v>
      </c>
      <c r="B23">
        <v>9.0935298810000003</v>
      </c>
    </row>
    <row r="24" spans="1:2" x14ac:dyDescent="0.35">
      <c r="A24" t="s">
        <v>33</v>
      </c>
      <c r="B24">
        <v>8.8405427460000006</v>
      </c>
    </row>
    <row r="25" spans="1:2" x14ac:dyDescent="0.35">
      <c r="A25" t="s">
        <v>34</v>
      </c>
      <c r="B25">
        <v>8.8412606339999993</v>
      </c>
    </row>
    <row r="26" spans="1:2" x14ac:dyDescent="0.35">
      <c r="A26" t="s">
        <v>35</v>
      </c>
      <c r="B26">
        <v>10.701459549999999</v>
      </c>
    </row>
    <row r="27" spans="1:2" x14ac:dyDescent="0.35">
      <c r="A27" t="s">
        <v>36</v>
      </c>
      <c r="B27">
        <v>9.2112662669999992</v>
      </c>
    </row>
    <row r="28" spans="1:2" x14ac:dyDescent="0.35">
      <c r="A28" t="s">
        <v>37</v>
      </c>
      <c r="B28">
        <v>8.9244407030000001</v>
      </c>
    </row>
    <row r="29" spans="1:2" x14ac:dyDescent="0.35">
      <c r="A29" t="s">
        <v>38</v>
      </c>
      <c r="B29">
        <v>8.3785842489999993</v>
      </c>
    </row>
    <row r="30" spans="1:2" x14ac:dyDescent="0.35">
      <c r="A30" t="s">
        <v>39</v>
      </c>
      <c r="B30">
        <v>10.928984659999999</v>
      </c>
    </row>
    <row r="31" spans="1:2" x14ac:dyDescent="0.35">
      <c r="A31" t="s">
        <v>40</v>
      </c>
      <c r="B31">
        <v>8.0662598029999995</v>
      </c>
    </row>
    <row r="32" spans="1:2" x14ac:dyDescent="0.35">
      <c r="A32" t="s">
        <v>41</v>
      </c>
      <c r="B32">
        <v>8.1004925169999993</v>
      </c>
    </row>
    <row r="33" spans="1:2" x14ac:dyDescent="0.35">
      <c r="A33" t="s">
        <v>42</v>
      </c>
      <c r="B33">
        <v>7.7370418719999998</v>
      </c>
    </row>
    <row r="34" spans="1:2" x14ac:dyDescent="0.35">
      <c r="A34" t="s">
        <v>43</v>
      </c>
      <c r="B34">
        <v>11.21924703</v>
      </c>
    </row>
    <row r="35" spans="1:2" x14ac:dyDescent="0.35">
      <c r="A35" t="s">
        <v>44</v>
      </c>
      <c r="B35">
        <v>9.2740465160000003</v>
      </c>
    </row>
    <row r="36" spans="1:2" x14ac:dyDescent="0.35">
      <c r="A36" t="s">
        <v>45</v>
      </c>
      <c r="B36">
        <v>7.7962113449999997</v>
      </c>
    </row>
    <row r="37" spans="1:2" x14ac:dyDescent="0.35">
      <c r="A37" t="s">
        <v>46</v>
      </c>
      <c r="B37">
        <v>8.9284028939999995</v>
      </c>
    </row>
    <row r="38" spans="1:2" x14ac:dyDescent="0.35">
      <c r="A38" t="s">
        <v>47</v>
      </c>
      <c r="B38">
        <v>10.91030538</v>
      </c>
    </row>
    <row r="39" spans="1:2" x14ac:dyDescent="0.35">
      <c r="A39" t="s">
        <v>48</v>
      </c>
      <c r="B39">
        <v>9.3564126840000004</v>
      </c>
    </row>
    <row r="40" spans="1:2" x14ac:dyDescent="0.35">
      <c r="A40" t="s">
        <v>49</v>
      </c>
      <c r="B40">
        <v>8.6174603829999992</v>
      </c>
    </row>
    <row r="41" spans="1:2" x14ac:dyDescent="0.35">
      <c r="A41" t="s">
        <v>50</v>
      </c>
      <c r="B41">
        <v>8.7163509359999995</v>
      </c>
    </row>
    <row r="42" spans="1:2" x14ac:dyDescent="0.35">
      <c r="A42" t="s">
        <v>51</v>
      </c>
      <c r="B42">
        <v>11.951491470000001</v>
      </c>
    </row>
    <row r="43" spans="1:2" x14ac:dyDescent="0.35">
      <c r="A43" t="s">
        <v>52</v>
      </c>
      <c r="B43">
        <v>8.4994602310000005</v>
      </c>
    </row>
    <row r="44" spans="1:2" x14ac:dyDescent="0.35">
      <c r="A44" t="s">
        <v>53</v>
      </c>
      <c r="B44">
        <v>8.4822356140000004</v>
      </c>
    </row>
    <row r="45" spans="1:2" x14ac:dyDescent="0.35">
      <c r="A45" t="s">
        <v>54</v>
      </c>
      <c r="B45">
        <v>8.3911066979999998</v>
      </c>
    </row>
    <row r="46" spans="1:2" x14ac:dyDescent="0.35">
      <c r="A46" t="s">
        <v>55</v>
      </c>
      <c r="B46">
        <v>10.13197478</v>
      </c>
    </row>
    <row r="47" spans="1:2" x14ac:dyDescent="0.35">
      <c r="A47" t="s">
        <v>56</v>
      </c>
      <c r="B47">
        <v>8.4004153109999997</v>
      </c>
    </row>
    <row r="48" spans="1:2" x14ac:dyDescent="0.35">
      <c r="A48" t="s">
        <v>57</v>
      </c>
      <c r="B48">
        <v>8.6903039880000001</v>
      </c>
    </row>
    <row r="49" spans="1:2" x14ac:dyDescent="0.35">
      <c r="A49" t="s">
        <v>58</v>
      </c>
      <c r="B49">
        <v>8.2623477399999992</v>
      </c>
    </row>
    <row r="50" spans="1:2" x14ac:dyDescent="0.35">
      <c r="A50" t="s">
        <v>59</v>
      </c>
      <c r="B50">
        <v>10.15701681</v>
      </c>
    </row>
    <row r="51" spans="1:2" x14ac:dyDescent="0.35">
      <c r="A51" t="s">
        <v>60</v>
      </c>
      <c r="B51">
        <v>8.7339279790000006</v>
      </c>
    </row>
    <row r="52" spans="1:2" x14ac:dyDescent="0.35">
      <c r="A52" t="s">
        <v>61</v>
      </c>
      <c r="B52">
        <v>8.6065129200000001</v>
      </c>
    </row>
    <row r="53" spans="1:2" x14ac:dyDescent="0.35">
      <c r="A53" t="s">
        <v>62</v>
      </c>
      <c r="B53">
        <v>8.5046833329999991</v>
      </c>
    </row>
    <row r="54" spans="1:2" x14ac:dyDescent="0.35">
      <c r="A54" t="s">
        <v>63</v>
      </c>
      <c r="B54">
        <v>9.8464424489999995</v>
      </c>
    </row>
    <row r="55" spans="1:2" x14ac:dyDescent="0.35">
      <c r="A55" t="s">
        <v>64</v>
      </c>
      <c r="B55">
        <v>9.0092215279999994</v>
      </c>
    </row>
    <row r="56" spans="1:2" x14ac:dyDescent="0.35">
      <c r="A56" t="s">
        <v>65</v>
      </c>
      <c r="B56">
        <v>8.4494986270000005</v>
      </c>
    </row>
    <row r="57" spans="1:2" x14ac:dyDescent="0.35">
      <c r="A57" t="s">
        <v>66</v>
      </c>
      <c r="B57">
        <v>8.4886335160000002</v>
      </c>
    </row>
    <row r="58" spans="1:2" x14ac:dyDescent="0.35">
      <c r="A58" t="s">
        <v>67</v>
      </c>
      <c r="B58">
        <v>10.267920370000001</v>
      </c>
    </row>
    <row r="59" spans="1:2" x14ac:dyDescent="0.35">
      <c r="A59" t="s">
        <v>68</v>
      </c>
      <c r="B59">
        <v>8.6029121390000007</v>
      </c>
    </row>
    <row r="60" spans="1:2" x14ac:dyDescent="0.35">
      <c r="A60" t="s">
        <v>69</v>
      </c>
      <c r="B60">
        <v>8.3503765219999995</v>
      </c>
    </row>
    <row r="61" spans="1:2" x14ac:dyDescent="0.35">
      <c r="A61" t="s">
        <v>70</v>
      </c>
      <c r="B61">
        <v>9.2374914169999993</v>
      </c>
    </row>
    <row r="62" spans="1:2" x14ac:dyDescent="0.35">
      <c r="A62" t="s">
        <v>71</v>
      </c>
      <c r="B62">
        <v>10.78668543</v>
      </c>
    </row>
    <row r="63" spans="1:2" x14ac:dyDescent="0.35">
      <c r="A63" t="s">
        <v>72</v>
      </c>
      <c r="B63">
        <v>9.0333038230000007</v>
      </c>
    </row>
    <row r="64" spans="1:2" x14ac:dyDescent="0.35">
      <c r="A64" t="s">
        <v>73</v>
      </c>
      <c r="B64">
        <v>8.7810029440000008</v>
      </c>
    </row>
    <row r="65" spans="1:2" x14ac:dyDescent="0.35">
      <c r="A65" t="s">
        <v>74</v>
      </c>
      <c r="B65">
        <v>8.8768492860000006</v>
      </c>
    </row>
    <row r="66" spans="1:2" x14ac:dyDescent="0.35">
      <c r="A66" t="s">
        <v>75</v>
      </c>
      <c r="B66">
        <v>11.35529359</v>
      </c>
    </row>
    <row r="67" spans="1:2" x14ac:dyDescent="0.35">
      <c r="A67" t="s">
        <v>76</v>
      </c>
      <c r="B67">
        <v>10.19893209</v>
      </c>
    </row>
    <row r="68" spans="1:2" x14ac:dyDescent="0.35">
      <c r="A68" t="s">
        <v>77</v>
      </c>
      <c r="B68">
        <v>8.9680363280000002</v>
      </c>
    </row>
    <row r="69" spans="1:2" x14ac:dyDescent="0.35">
      <c r="A69" t="s">
        <v>78</v>
      </c>
      <c r="B69">
        <v>9.4143273520000008</v>
      </c>
    </row>
    <row r="70" spans="1:2" x14ac:dyDescent="0.35">
      <c r="A70" t="s">
        <v>79</v>
      </c>
      <c r="B70">
        <v>11.63093351</v>
      </c>
    </row>
    <row r="71" spans="1:2" x14ac:dyDescent="0.35">
      <c r="A71" t="s">
        <v>80</v>
      </c>
      <c r="B71">
        <v>9.7070475320000007</v>
      </c>
    </row>
    <row r="72" spans="1:2" x14ac:dyDescent="0.35">
      <c r="A72" t="s">
        <v>81</v>
      </c>
      <c r="B72">
        <v>9.5459545709999993</v>
      </c>
    </row>
    <row r="73" spans="1:2" x14ac:dyDescent="0.35">
      <c r="A73" t="s">
        <v>82</v>
      </c>
      <c r="B73">
        <v>10.04615942</v>
      </c>
    </row>
    <row r="74" spans="1:2" x14ac:dyDescent="0.35">
      <c r="A74" t="s">
        <v>83</v>
      </c>
      <c r="B74">
        <v>12.59317813</v>
      </c>
    </row>
    <row r="75" spans="1:2" x14ac:dyDescent="0.35">
      <c r="A75" t="s">
        <v>84</v>
      </c>
      <c r="B75">
        <v>9.9801987919999995</v>
      </c>
    </row>
    <row r="76" spans="1:2" x14ac:dyDescent="0.35">
      <c r="A76" t="s">
        <v>85</v>
      </c>
      <c r="B76">
        <v>9.9396175660000008</v>
      </c>
    </row>
    <row r="77" spans="1:2" x14ac:dyDescent="0.35">
      <c r="A77" t="s">
        <v>86</v>
      </c>
      <c r="B77">
        <v>10.08496467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2024-04-14T22:04:13Z</dcterms:created>
  <dcterms:modified xsi:type="dcterms:W3CDTF">2024-04-16T17:13:07Z</dcterms:modified>
</cp:coreProperties>
</file>