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liatx-my.sharepoint.com/personal/joseph_rissman_intelliatx_com/Documents/source_code/coursework/BU/CS699/hw5/"/>
    </mc:Choice>
  </mc:AlternateContent>
  <xr:revisionPtr revIDLastSave="68" documentId="8_{0232DA89-D771-4D55-8690-17E3C30A15F2}" xr6:coauthVersionLast="47" xr6:coauthVersionMax="47" xr10:uidLastSave="{8287FF71-0FA5-4079-ACCF-259492701205}"/>
  <bookViews>
    <workbookView xWindow="-120" yWindow="-120" windowWidth="29040" windowHeight="15840" activeTab="2" xr2:uid="{D8FD9E2D-00F4-460F-AF77-CC6624D062EB}"/>
  </bookViews>
  <sheets>
    <sheet name="Q1" sheetId="1" r:id="rId1"/>
    <sheet name="Q2" sheetId="2" r:id="rId2"/>
    <sheet name="Q3" sheetId="3" r:id="rId3"/>
  </sheets>
  <definedNames>
    <definedName name="_xlnm._FilterDatabase" localSheetId="2" hidden="1">'Q3'!$A$1:$C$1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E11" i="3"/>
  <c r="I11" i="3" s="1"/>
  <c r="D11" i="3"/>
  <c r="H11" i="3" s="1"/>
  <c r="G10" i="3"/>
  <c r="F10" i="3"/>
  <c r="E10" i="3"/>
  <c r="I10" i="3" s="1"/>
  <c r="D10" i="3"/>
  <c r="H10" i="3" s="1"/>
  <c r="I9" i="3"/>
  <c r="H9" i="3"/>
  <c r="G9" i="3"/>
  <c r="F9" i="3"/>
  <c r="E9" i="3"/>
  <c r="D9" i="3"/>
  <c r="G8" i="3"/>
  <c r="F8" i="3"/>
  <c r="E8" i="3"/>
  <c r="I8" i="3" s="1"/>
  <c r="D8" i="3"/>
  <c r="H8" i="3" s="1"/>
  <c r="G7" i="3"/>
  <c r="F7" i="3"/>
  <c r="E7" i="3"/>
  <c r="I7" i="3" s="1"/>
  <c r="D7" i="3"/>
  <c r="H7" i="3" s="1"/>
  <c r="G6" i="3"/>
  <c r="F6" i="3"/>
  <c r="E6" i="3"/>
  <c r="I6" i="3" s="1"/>
  <c r="D6" i="3"/>
  <c r="H6" i="3" s="1"/>
  <c r="G4" i="3"/>
  <c r="F4" i="3"/>
  <c r="E4" i="3"/>
  <c r="I4" i="3" s="1"/>
  <c r="D4" i="3"/>
  <c r="H4" i="3" s="1"/>
  <c r="G3" i="3"/>
  <c r="F3" i="3"/>
  <c r="E3" i="3"/>
  <c r="I3" i="3" s="1"/>
  <c r="D3" i="3"/>
  <c r="H3" i="3" s="1"/>
  <c r="H2" i="3"/>
  <c r="G2" i="3"/>
  <c r="F2" i="3"/>
  <c r="E2" i="3"/>
  <c r="I2" i="3" s="1"/>
  <c r="D2" i="3"/>
  <c r="E5" i="3"/>
  <c r="I5" i="3" s="1"/>
  <c r="D5" i="3"/>
  <c r="H5" i="3" s="1"/>
  <c r="G5" i="3"/>
  <c r="F5" i="3"/>
  <c r="B17" i="2"/>
  <c r="G15" i="2"/>
  <c r="G14" i="2"/>
  <c r="G13" i="2"/>
  <c r="G12" i="2"/>
  <c r="G3" i="2"/>
  <c r="G4" i="2"/>
  <c r="G5" i="2"/>
  <c r="G6" i="2"/>
  <c r="G7" i="2"/>
  <c r="G8" i="2"/>
  <c r="G9" i="2"/>
  <c r="G10" i="2"/>
  <c r="G11" i="2"/>
  <c r="G2" i="2"/>
  <c r="F3" i="2"/>
  <c r="F4" i="2"/>
  <c r="F5" i="2"/>
  <c r="F6" i="2"/>
  <c r="F7" i="2"/>
  <c r="F8" i="2"/>
  <c r="F9" i="2"/>
  <c r="F10" i="2"/>
  <c r="F11" i="2"/>
  <c r="F2" i="2"/>
  <c r="D12" i="2"/>
  <c r="D11" i="2"/>
  <c r="D10" i="2"/>
  <c r="D9" i="2"/>
  <c r="D8" i="2"/>
  <c r="D7" i="2"/>
  <c r="D6" i="2"/>
  <c r="D5" i="2"/>
  <c r="D4" i="2"/>
  <c r="D3" i="2"/>
  <c r="D2" i="2"/>
  <c r="C12" i="2"/>
  <c r="B12" i="2"/>
  <c r="B10" i="1"/>
  <c r="B7" i="1"/>
  <c r="B6" i="1"/>
  <c r="B5" i="1"/>
  <c r="B4" i="1"/>
  <c r="B9" i="1" s="1"/>
  <c r="B8" i="1" l="1"/>
</calcChain>
</file>

<file path=xl/sharedStrings.xml><?xml version="1.0" encoding="utf-8"?>
<sst xmlns="http://schemas.openxmlformats.org/spreadsheetml/2006/main" count="35" uniqueCount="27">
  <si>
    <t>sens</t>
  </si>
  <si>
    <t>spec</t>
  </si>
  <si>
    <t>prec</t>
  </si>
  <si>
    <t>acc</t>
  </si>
  <si>
    <t>recall</t>
  </si>
  <si>
    <t>f1</t>
  </si>
  <si>
    <t>f2</t>
  </si>
  <si>
    <t>mcc</t>
  </si>
  <si>
    <t>pred P</t>
  </si>
  <si>
    <t>pred N</t>
  </si>
  <si>
    <t>act P</t>
  </si>
  <si>
    <t>act N</t>
  </si>
  <si>
    <t>Iteration</t>
  </si>
  <si>
    <t>M1</t>
  </si>
  <si>
    <t>M2</t>
  </si>
  <si>
    <t>M1 - M2</t>
  </si>
  <si>
    <t>Tuple_id</t>
  </si>
  <si>
    <t>Probability</t>
  </si>
  <si>
    <t>P</t>
  </si>
  <si>
    <t>N</t>
  </si>
  <si>
    <t>Actual Class</t>
  </si>
  <si>
    <t>TP</t>
  </si>
  <si>
    <t>FP</t>
  </si>
  <si>
    <t>TN</t>
  </si>
  <si>
    <t>FN</t>
  </si>
  <si>
    <t>TPR</t>
  </si>
  <si>
    <t>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</si>
</sst>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2">
    <font>
      <sz val="11"/>
      <color theme="1"/>
      <name val="Consolas"/>
      <family val="2"/>
    </font>
    <font>
      <sz val="11"/>
      <color theme="1"/>
      <name val="TimesNewRomanPS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4A7C-344B-4E44-838B-F9018B287118}">
  <dimension ref="A1:C10"/>
  <sheetViews>
    <sheetView workbookViewId="0">
      <selection activeCell="A4" sqref="A4"/>
    </sheetView>
  </sheetViews>
  <sheetFormatPr defaultRowHeight="15"/>
  <cols>
    <col min="2" max="2" width="8.625" customWidth="1"/>
  </cols>
  <sheetData>
    <row r="1" spans="1:3">
      <c r="B1" t="s">
        <v>8</v>
      </c>
      <c r="C1" t="s">
        <v>9</v>
      </c>
    </row>
    <row r="2" spans="1:3">
      <c r="A2" t="s">
        <v>10</v>
      </c>
      <c r="B2">
        <v>132</v>
      </c>
      <c r="C2">
        <v>29</v>
      </c>
    </row>
    <row r="3" spans="1:3">
      <c r="A3" t="s">
        <v>11</v>
      </c>
      <c r="B3">
        <v>87</v>
      </c>
      <c r="C3">
        <v>218</v>
      </c>
    </row>
    <row r="4" spans="1:3">
      <c r="A4" t="s">
        <v>0</v>
      </c>
      <c r="B4" s="2">
        <f>B2/SUM(B2:C2)</f>
        <v>0.81987577639751552</v>
      </c>
      <c r="C4" t="s">
        <v>4</v>
      </c>
    </row>
    <row r="5" spans="1:3">
      <c r="A5" t="s">
        <v>1</v>
      </c>
      <c r="B5" s="2">
        <f>C3/SUM(B3:C3)</f>
        <v>0.71475409836065573</v>
      </c>
    </row>
    <row r="6" spans="1:3">
      <c r="A6" t="s">
        <v>2</v>
      </c>
      <c r="B6" s="2">
        <f>B2/(B2+B3)</f>
        <v>0.60273972602739723</v>
      </c>
    </row>
    <row r="7" spans="1:3">
      <c r="A7" t="s">
        <v>3</v>
      </c>
      <c r="B7" s="2">
        <f>(B2+C3)/SUM(B2:C3)</f>
        <v>0.75107296137339052</v>
      </c>
    </row>
    <row r="8" spans="1:3">
      <c r="A8" t="s">
        <v>5</v>
      </c>
      <c r="B8" s="2">
        <f>(2*B4*B6)/(B4+B6)</f>
        <v>0.6947368421052631</v>
      </c>
    </row>
    <row r="9" spans="1:3">
      <c r="A9" t="s">
        <v>6</v>
      </c>
      <c r="B9" s="2">
        <f>(5*B4*B6)/(B4+4*B6)</f>
        <v>0.76477404403244487</v>
      </c>
    </row>
    <row r="10" spans="1:3">
      <c r="A10" t="s">
        <v>7</v>
      </c>
      <c r="B10" s="2">
        <f>(B2*C3-B3*C2)/SQRT((B2+C2)*(B2+B3)*(C3+B3)*(C3+C2))</f>
        <v>0.50938429015397446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9ECA-3115-4830-BFDB-940F6929C135}">
  <dimension ref="A1:G17"/>
  <sheetViews>
    <sheetView workbookViewId="0">
      <selection activeCell="B1" sqref="B1:C11"/>
    </sheetView>
  </sheetViews>
  <sheetFormatPr defaultRowHeight="15"/>
  <sheetData>
    <row r="1" spans="1:7">
      <c r="A1" s="4" t="s">
        <v>12</v>
      </c>
      <c r="B1" t="s">
        <v>13</v>
      </c>
      <c r="C1" t="s">
        <v>14</v>
      </c>
      <c r="D1" t="s">
        <v>15</v>
      </c>
    </row>
    <row r="2" spans="1:7">
      <c r="A2" s="4">
        <v>1</v>
      </c>
      <c r="B2">
        <v>0.12</v>
      </c>
      <c r="C2">
        <v>0.08</v>
      </c>
      <c r="D2">
        <f>B2-C2</f>
        <v>3.9999999999999994E-2</v>
      </c>
      <c r="E2">
        <v>-6.0000000000000001E-3</v>
      </c>
      <c r="F2">
        <f>SUM(D2:E2)</f>
        <v>3.3999999999999996E-2</v>
      </c>
      <c r="G2" s="1">
        <f>F2*F2</f>
        <v>1.1559999999999997E-3</v>
      </c>
    </row>
    <row r="3" spans="1:7">
      <c r="A3" s="4">
        <v>2</v>
      </c>
      <c r="B3">
        <v>0.08</v>
      </c>
      <c r="C3">
        <v>0.11</v>
      </c>
      <c r="D3">
        <f t="shared" ref="D3:D11" si="0">B3-C3</f>
        <v>-0.03</v>
      </c>
      <c r="E3">
        <v>-6.0000000000000001E-3</v>
      </c>
      <c r="F3">
        <f t="shared" ref="F3:F11" si="1">SUM(D3:E3)</f>
        <v>-3.5999999999999997E-2</v>
      </c>
      <c r="G3" s="1">
        <f t="shared" ref="G3:G11" si="2">F3*F3</f>
        <v>1.2959999999999998E-3</v>
      </c>
    </row>
    <row r="4" spans="1:7">
      <c r="A4" s="4">
        <v>3</v>
      </c>
      <c r="B4">
        <v>0.1</v>
      </c>
      <c r="C4">
        <v>0.12</v>
      </c>
      <c r="D4">
        <f t="shared" si="0"/>
        <v>-1.999999999999999E-2</v>
      </c>
      <c r="E4">
        <v>-6.0000000000000001E-3</v>
      </c>
      <c r="F4">
        <f t="shared" si="1"/>
        <v>-2.5999999999999988E-2</v>
      </c>
      <c r="G4" s="1">
        <f t="shared" si="2"/>
        <v>6.7599999999999941E-4</v>
      </c>
    </row>
    <row r="5" spans="1:7">
      <c r="A5" s="4">
        <v>4</v>
      </c>
      <c r="B5">
        <v>0.13</v>
      </c>
      <c r="C5">
        <v>0.05</v>
      </c>
      <c r="D5">
        <f t="shared" si="0"/>
        <v>0.08</v>
      </c>
      <c r="E5">
        <v>-6.0000000000000001E-3</v>
      </c>
      <c r="F5">
        <f t="shared" si="1"/>
        <v>7.3999999999999996E-2</v>
      </c>
      <c r="G5" s="1">
        <f t="shared" si="2"/>
        <v>5.4759999999999991E-3</v>
      </c>
    </row>
    <row r="6" spans="1:7">
      <c r="A6" s="4">
        <v>5</v>
      </c>
      <c r="B6">
        <v>0.05</v>
      </c>
      <c r="C6">
        <v>0.09</v>
      </c>
      <c r="D6">
        <f t="shared" si="0"/>
        <v>-3.9999999999999994E-2</v>
      </c>
      <c r="E6">
        <v>-6.0000000000000001E-3</v>
      </c>
      <c r="F6">
        <f t="shared" si="1"/>
        <v>-4.5999999999999992E-2</v>
      </c>
      <c r="G6" s="1">
        <f t="shared" si="2"/>
        <v>2.1159999999999994E-3</v>
      </c>
    </row>
    <row r="7" spans="1:7">
      <c r="A7" s="4">
        <v>6</v>
      </c>
      <c r="B7">
        <v>0.09</v>
      </c>
      <c r="C7">
        <v>0.13</v>
      </c>
      <c r="D7">
        <f t="shared" si="0"/>
        <v>-4.0000000000000008E-2</v>
      </c>
      <c r="E7">
        <v>-6.0000000000000001E-3</v>
      </c>
      <c r="F7">
        <f t="shared" si="1"/>
        <v>-4.6000000000000006E-2</v>
      </c>
      <c r="G7" s="1">
        <f t="shared" si="2"/>
        <v>2.1160000000000007E-3</v>
      </c>
    </row>
    <row r="8" spans="1:7">
      <c r="A8" s="4">
        <v>7</v>
      </c>
      <c r="B8">
        <v>0.1</v>
      </c>
      <c r="C8">
        <v>0.19</v>
      </c>
      <c r="D8">
        <f t="shared" si="0"/>
        <v>-0.09</v>
      </c>
      <c r="E8">
        <v>-6.0000000000000001E-3</v>
      </c>
      <c r="F8">
        <f t="shared" si="1"/>
        <v>-9.6000000000000002E-2</v>
      </c>
      <c r="G8" s="1">
        <f t="shared" si="2"/>
        <v>9.2160000000000002E-3</v>
      </c>
    </row>
    <row r="9" spans="1:7">
      <c r="A9" s="4">
        <v>8</v>
      </c>
      <c r="B9">
        <v>0.08</v>
      </c>
      <c r="C9">
        <v>0.04</v>
      </c>
      <c r="D9">
        <f t="shared" si="0"/>
        <v>0.04</v>
      </c>
      <c r="E9">
        <v>-6.0000000000000001E-3</v>
      </c>
      <c r="F9">
        <f t="shared" si="1"/>
        <v>3.4000000000000002E-2</v>
      </c>
      <c r="G9" s="1">
        <f t="shared" si="2"/>
        <v>1.1560000000000001E-3</v>
      </c>
    </row>
    <row r="10" spans="1:7">
      <c r="A10" s="4">
        <v>9</v>
      </c>
      <c r="B10">
        <v>0.25</v>
      </c>
      <c r="C10">
        <v>0.2</v>
      </c>
      <c r="D10">
        <f t="shared" si="0"/>
        <v>4.9999999999999989E-2</v>
      </c>
      <c r="E10">
        <v>-6.0000000000000001E-3</v>
      </c>
      <c r="F10">
        <f t="shared" si="1"/>
        <v>4.3999999999999991E-2</v>
      </c>
      <c r="G10" s="1">
        <f t="shared" si="2"/>
        <v>1.9359999999999991E-3</v>
      </c>
    </row>
    <row r="11" spans="1:7">
      <c r="A11" s="4">
        <v>10</v>
      </c>
      <c r="B11">
        <v>0.19</v>
      </c>
      <c r="C11">
        <v>0.12</v>
      </c>
      <c r="D11">
        <f t="shared" si="0"/>
        <v>7.0000000000000007E-2</v>
      </c>
      <c r="E11">
        <v>-6.0000000000000001E-3</v>
      </c>
      <c r="F11">
        <f t="shared" si="1"/>
        <v>6.4000000000000001E-2</v>
      </c>
      <c r="G11" s="1">
        <f t="shared" si="2"/>
        <v>4.0959999999999998E-3</v>
      </c>
    </row>
    <row r="12" spans="1:7">
      <c r="B12">
        <f>AVERAGE(B2:B11)</f>
        <v>0.11899999999999999</v>
      </c>
      <c r="C12">
        <f>AVERAGE(C2:C11)</f>
        <v>0.11299999999999999</v>
      </c>
      <c r="D12">
        <f>AVERAGE(D2:D11)</f>
        <v>6.0000000000000001E-3</v>
      </c>
      <c r="G12" s="1">
        <f>SUM(G2:G11)/9</f>
        <v>3.2488888888888884E-3</v>
      </c>
    </row>
    <row r="13" spans="1:7">
      <c r="G13" s="1">
        <f>_xlfn.VAR.S(D2:D11)</f>
        <v>3.2488888888888893E-3</v>
      </c>
    </row>
    <row r="14" spans="1:7">
      <c r="G14" s="2">
        <f>SQRT(G13/10)</f>
        <v>1.8024674446127702E-2</v>
      </c>
    </row>
    <row r="15" spans="1:7">
      <c r="G15" s="2">
        <f>D12/G14</f>
        <v>0.33287702465488905</v>
      </c>
    </row>
    <row r="17" spans="2:2">
      <c r="B17">
        <f>_xlfn.T.TEST(B2:B11,C2:C11,2,1)</f>
        <v>0.74685008398912567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AEF4-499D-4190-A4C1-6BFE72281168}">
  <dimension ref="A1:I11"/>
  <sheetViews>
    <sheetView tabSelected="1" workbookViewId="0">
      <selection activeCell="J2" sqref="J2:J11"/>
    </sheetView>
  </sheetViews>
  <sheetFormatPr defaultRowHeight="15"/>
  <cols>
    <col min="1" max="1" width="8.75" bestFit="1" customWidth="1"/>
    <col min="2" max="2" width="12.875" bestFit="1" customWidth="1"/>
    <col min="3" max="3" width="11.75" bestFit="1" customWidth="1"/>
  </cols>
  <sheetData>
    <row r="1" spans="1:9">
      <c r="A1" t="s">
        <v>16</v>
      </c>
      <c r="B1" t="s">
        <v>20</v>
      </c>
      <c r="C1" t="s">
        <v>17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>
      <c r="A2">
        <v>7</v>
      </c>
      <c r="B2" t="s">
        <v>19</v>
      </c>
      <c r="C2">
        <v>0.95</v>
      </c>
      <c r="D2">
        <f>COUNTIF($B$2:$B2,"P")</f>
        <v>0</v>
      </c>
      <c r="E2">
        <f>COUNTIF($B$2:$B2,"N")</f>
        <v>1</v>
      </c>
      <c r="F2">
        <f>COUNTIF(B3:B$11,"N")</f>
        <v>3</v>
      </c>
      <c r="G2">
        <f>COUNTIF($B3:$B$11,"P")</f>
        <v>6</v>
      </c>
      <c r="H2" s="3">
        <f t="shared" ref="H2:H4" si="0">D2/COUNTIF($B$2:$B$11,"P")</f>
        <v>0</v>
      </c>
      <c r="I2" s="3">
        <f t="shared" ref="I2:I4" si="1">E2/COUNTIF($B$2:$B$11,"N")</f>
        <v>0.25</v>
      </c>
    </row>
    <row r="3" spans="1:9">
      <c r="A3">
        <v>4</v>
      </c>
      <c r="B3" t="s">
        <v>18</v>
      </c>
      <c r="C3">
        <v>0.93</v>
      </c>
      <c r="D3">
        <f>COUNTIF($B$2:$B3,"P")</f>
        <v>1</v>
      </c>
      <c r="E3">
        <f>COUNTIF($B$2:$B3,"N")</f>
        <v>1</v>
      </c>
      <c r="F3">
        <f>COUNTIF(B4:B$11,"N")</f>
        <v>3</v>
      </c>
      <c r="G3">
        <f>COUNTIF($B4:$B$11,"P")</f>
        <v>5</v>
      </c>
      <c r="H3" s="3">
        <f t="shared" si="0"/>
        <v>0.16666666666666666</v>
      </c>
      <c r="I3" s="3">
        <f t="shared" si="1"/>
        <v>0.25</v>
      </c>
    </row>
    <row r="4" spans="1:9">
      <c r="A4">
        <v>3</v>
      </c>
      <c r="B4" t="s">
        <v>19</v>
      </c>
      <c r="C4">
        <v>0.87</v>
      </c>
      <c r="D4">
        <f>COUNTIF($B$2:$B4,"P")</f>
        <v>1</v>
      </c>
      <c r="E4">
        <f>COUNTIF($B$2:$B4,"N")</f>
        <v>2</v>
      </c>
      <c r="F4">
        <f>COUNTIF(B5:B$11,"N")</f>
        <v>2</v>
      </c>
      <c r="G4">
        <f>COUNTIF($B5:$B$11,"P")</f>
        <v>5</v>
      </c>
      <c r="H4" s="3">
        <f t="shared" si="0"/>
        <v>0.16666666666666666</v>
      </c>
      <c r="I4" s="3">
        <f t="shared" si="1"/>
        <v>0.5</v>
      </c>
    </row>
    <row r="5" spans="1:9">
      <c r="A5">
        <v>5</v>
      </c>
      <c r="B5" t="s">
        <v>18</v>
      </c>
      <c r="C5">
        <v>0.84</v>
      </c>
      <c r="D5">
        <f>COUNTIF($B$2:$B5,"P")</f>
        <v>2</v>
      </c>
      <c r="E5">
        <f>COUNTIF($B$2:$B5,"N")</f>
        <v>2</v>
      </c>
      <c r="F5">
        <f>COUNTIF(B6:B$11,"N")</f>
        <v>2</v>
      </c>
      <c r="G5">
        <f>COUNTIF($B6:$B$11,"P")</f>
        <v>4</v>
      </c>
      <c r="H5" s="3">
        <f>D5/COUNTIF($B$2:$B$11,"P")</f>
        <v>0.33333333333333331</v>
      </c>
      <c r="I5" s="3">
        <f>E5/COUNTIF($B$2:$B$11,"N")</f>
        <v>0.5</v>
      </c>
    </row>
    <row r="6" spans="1:9">
      <c r="A6">
        <v>1</v>
      </c>
      <c r="B6" t="s">
        <v>18</v>
      </c>
      <c r="C6">
        <v>0.75</v>
      </c>
      <c r="D6">
        <f>COUNTIF($B$2:$B6,"P")</f>
        <v>3</v>
      </c>
      <c r="E6">
        <f>COUNTIF($B$2:$B6,"N")</f>
        <v>2</v>
      </c>
      <c r="F6">
        <f>COUNTIF(B7:B$11,"N")</f>
        <v>2</v>
      </c>
      <c r="G6">
        <f>COUNTIF($B7:$B$11,"P")</f>
        <v>3</v>
      </c>
      <c r="H6" s="3">
        <f t="shared" ref="H6:H11" si="2">D6/COUNTIF($B$2:$B$11,"P")</f>
        <v>0.5</v>
      </c>
      <c r="I6" s="3">
        <f t="shared" ref="I6:I11" si="3">E6/COUNTIF($B$2:$B$11,"N")</f>
        <v>0.5</v>
      </c>
    </row>
    <row r="7" spans="1:9">
      <c r="A7">
        <v>10</v>
      </c>
      <c r="B7" t="s">
        <v>18</v>
      </c>
      <c r="C7">
        <v>0.74</v>
      </c>
      <c r="D7">
        <f>COUNTIF($B$2:$B7,"P")</f>
        <v>4</v>
      </c>
      <c r="E7">
        <f>COUNTIF($B$2:$B7,"N")</f>
        <v>2</v>
      </c>
      <c r="F7">
        <f>COUNTIF(B8:B$11,"N")</f>
        <v>2</v>
      </c>
      <c r="G7">
        <f>COUNTIF($B8:$B$11,"P")</f>
        <v>2</v>
      </c>
      <c r="H7" s="3">
        <f t="shared" si="2"/>
        <v>0.66666666666666663</v>
      </c>
      <c r="I7" s="3">
        <f t="shared" si="3"/>
        <v>0.5</v>
      </c>
    </row>
    <row r="8" spans="1:9">
      <c r="A8">
        <v>9</v>
      </c>
      <c r="B8" t="s">
        <v>19</v>
      </c>
      <c r="C8">
        <v>0.63</v>
      </c>
      <c r="D8">
        <f>COUNTIF($B$2:$B8,"P")</f>
        <v>4</v>
      </c>
      <c r="E8">
        <f>COUNTIF($B$2:$B8,"N")</f>
        <v>3</v>
      </c>
      <c r="F8">
        <f>COUNTIF(B9:B$11,"N")</f>
        <v>1</v>
      </c>
      <c r="G8">
        <f>COUNTIF($B9:$B$11,"P")</f>
        <v>2</v>
      </c>
      <c r="H8" s="3">
        <f t="shared" si="2"/>
        <v>0.66666666666666663</v>
      </c>
      <c r="I8" s="3">
        <f t="shared" si="3"/>
        <v>0.75</v>
      </c>
    </row>
    <row r="9" spans="1:9">
      <c r="A9">
        <v>8</v>
      </c>
      <c r="B9" t="s">
        <v>18</v>
      </c>
      <c r="C9">
        <v>0.59</v>
      </c>
      <c r="D9">
        <f>COUNTIF($B$2:$B9,"P")</f>
        <v>5</v>
      </c>
      <c r="E9">
        <f>COUNTIF($B$2:$B9,"N")</f>
        <v>3</v>
      </c>
      <c r="F9">
        <f>COUNTIF(B10:B$11,"N")</f>
        <v>1</v>
      </c>
      <c r="G9">
        <f>COUNTIF($B10:$B$11,"P")</f>
        <v>1</v>
      </c>
      <c r="H9" s="3">
        <f t="shared" si="2"/>
        <v>0.83333333333333337</v>
      </c>
      <c r="I9" s="3">
        <f t="shared" si="3"/>
        <v>0.75</v>
      </c>
    </row>
    <row r="10" spans="1:9">
      <c r="A10">
        <v>6</v>
      </c>
      <c r="B10" t="s">
        <v>18</v>
      </c>
      <c r="C10">
        <v>0.48</v>
      </c>
      <c r="D10">
        <f>COUNTIF($B$2:$B10,"P")</f>
        <v>6</v>
      </c>
      <c r="E10">
        <f>COUNTIF($B$2:$B10,"N")</f>
        <v>3</v>
      </c>
      <c r="F10">
        <f>COUNTIF(B11:B$11,"N")</f>
        <v>1</v>
      </c>
      <c r="G10">
        <f>COUNTIF($B11:$B$11,"P")</f>
        <v>0</v>
      </c>
      <c r="H10" s="3">
        <f t="shared" si="2"/>
        <v>1</v>
      </c>
      <c r="I10" s="3">
        <f t="shared" si="3"/>
        <v>0.75</v>
      </c>
    </row>
    <row r="11" spans="1:9">
      <c r="A11">
        <v>2</v>
      </c>
      <c r="B11" t="s">
        <v>19</v>
      </c>
      <c r="C11">
        <v>0.32</v>
      </c>
      <c r="D11">
        <f>COUNTIF($B$2:$B11,"P")</f>
        <v>6</v>
      </c>
      <c r="E11">
        <f>COUNTIF($B$2:$B11,"N")</f>
        <v>4</v>
      </c>
      <c r="F11">
        <f>COUNTIF(B$11:B12,"N")</f>
        <v>1</v>
      </c>
      <c r="G11">
        <v>0</v>
      </c>
      <c r="H11" s="3">
        <f t="shared" si="2"/>
        <v>1</v>
      </c>
      <c r="I11" s="3">
        <f t="shared" si="3"/>
        <v>1</v>
      </c>
    </row>
  </sheetData>
  <autoFilter ref="A1:C1" xr:uid="{2925AEF4-499D-4190-A4C1-6BFE72281168}">
    <sortState xmlns:xlrd2="http://schemas.microsoft.com/office/spreadsheetml/2017/richdata2" ref="A2:C11">
      <sortCondition descending="1"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Rissman</dc:creator>
  <cp:lastModifiedBy>Joseph Rissman</cp:lastModifiedBy>
  <dcterms:created xsi:type="dcterms:W3CDTF">2024-02-25T16:20:48Z</dcterms:created>
  <dcterms:modified xsi:type="dcterms:W3CDTF">2024-02-26T13:58:27Z</dcterms:modified>
</cp:coreProperties>
</file>