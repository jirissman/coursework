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544/Homework Assignment 10/"/>
    </mc:Choice>
  </mc:AlternateContent>
  <xr:revisionPtr revIDLastSave="0" documentId="8_{8000EC00-681F-4BF3-9EB3-D94488AF1C8A}" xr6:coauthVersionLast="47" xr6:coauthVersionMax="47" xr10:uidLastSave="{00000000-0000-0000-0000-000000000000}"/>
  <bookViews>
    <workbookView xWindow="-110" yWindow="-110" windowWidth="19420" windowHeight="10420" xr2:uid="{909A0B2E-5BCB-4CD1-B14C-B96AA9966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42" i="1"/>
  <c r="A49" i="1"/>
  <c r="A41" i="1"/>
  <c r="A46" i="1"/>
  <c r="A47" i="1" s="1"/>
  <c r="B41" i="1"/>
  <c r="I18" i="1"/>
  <c r="J18" i="1" s="1"/>
  <c r="E12" i="1"/>
  <c r="E17" i="1" s="1"/>
  <c r="D12" i="1"/>
  <c r="D17" i="1" s="1"/>
  <c r="C12" i="1"/>
  <c r="C17" i="1" s="1"/>
  <c r="B12" i="1"/>
  <c r="B17" i="1" s="1"/>
  <c r="E11" i="1"/>
  <c r="E16" i="1" s="1"/>
  <c r="D11" i="1"/>
  <c r="D16" i="1" s="1"/>
  <c r="C11" i="1"/>
  <c r="C16" i="1" s="1"/>
  <c r="B11" i="1"/>
  <c r="B16" i="1" s="1"/>
  <c r="E8" i="1"/>
  <c r="D8" i="1"/>
  <c r="C8" i="1"/>
  <c r="B8" i="1"/>
  <c r="F7" i="1"/>
  <c r="F6" i="1"/>
  <c r="I1" i="1"/>
  <c r="H3" i="1"/>
  <c r="G3" i="1"/>
  <c r="F3" i="1"/>
  <c r="E3" i="1"/>
  <c r="D3" i="1"/>
  <c r="C3" i="1"/>
  <c r="B3" i="1"/>
  <c r="G18" i="1" l="1"/>
  <c r="K19" i="1"/>
  <c r="K18" i="1"/>
  <c r="F8" i="1"/>
</calcChain>
</file>

<file path=xl/sharedStrings.xml><?xml version="1.0" encoding="utf-8"?>
<sst xmlns="http://schemas.openxmlformats.org/spreadsheetml/2006/main" count="37" uniqueCount="17">
  <si>
    <t>Obs</t>
  </si>
  <si>
    <t>Exp</t>
  </si>
  <si>
    <t>Male</t>
  </si>
  <si>
    <t>Female</t>
  </si>
  <si>
    <t>Total</t>
  </si>
  <si>
    <t>10 to 19</t>
  </si>
  <si>
    <t>20 to 29</t>
  </si>
  <si>
    <t>30 to 39</t>
  </si>
  <si>
    <t>40 to 49</t>
  </si>
  <si>
    <t>lower</t>
  </si>
  <si>
    <t>upper</t>
  </si>
  <si>
    <t>slope</t>
  </si>
  <si>
    <t>t*SE</t>
  </si>
  <si>
    <t>SE</t>
  </si>
  <si>
    <t>t</t>
  </si>
  <si>
    <t>S</t>
  </si>
  <si>
    <t>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</si>
</sst>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"/>
  </numFmts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712E-C95E-4A38-88DF-C27C5FF8C604}">
  <dimension ref="A1:K51"/>
  <sheetViews>
    <sheetView tabSelected="1" topLeftCell="A30" workbookViewId="0">
      <selection activeCell="A51" sqref="A51"/>
    </sheetView>
  </sheetViews>
  <sheetFormatPr defaultRowHeight="14.5" x14ac:dyDescent="0.35"/>
  <sheetData>
    <row r="1" spans="1:9" x14ac:dyDescent="0.35">
      <c r="A1" t="s">
        <v>0</v>
      </c>
      <c r="B1">
        <v>6</v>
      </c>
      <c r="C1">
        <v>7</v>
      </c>
      <c r="D1">
        <v>9</v>
      </c>
      <c r="E1">
        <v>14</v>
      </c>
      <c r="F1">
        <v>19</v>
      </c>
      <c r="G1">
        <v>17</v>
      </c>
      <c r="H1">
        <v>12</v>
      </c>
      <c r="I1">
        <f>_xlfn.CHISQ.TEST(B1:H1,B2:H2)</f>
        <v>5.4932523862256971E-2</v>
      </c>
    </row>
    <row r="2" spans="1:9" x14ac:dyDescent="0.35">
      <c r="A2" t="s">
        <v>1</v>
      </c>
      <c r="B2">
        <v>12</v>
      </c>
      <c r="C2">
        <v>12</v>
      </c>
      <c r="D2">
        <v>12</v>
      </c>
      <c r="E2">
        <v>12</v>
      </c>
      <c r="F2">
        <v>12</v>
      </c>
      <c r="G2">
        <v>12</v>
      </c>
      <c r="H2">
        <v>12</v>
      </c>
    </row>
    <row r="3" spans="1:9" x14ac:dyDescent="0.35">
      <c r="B3" s="2">
        <f>(B1-B2)^2/B2</f>
        <v>3</v>
      </c>
      <c r="C3" s="2">
        <f t="shared" ref="C3:H3" si="0">(C1-C2)^2/C2</f>
        <v>2.0833333333333335</v>
      </c>
      <c r="D3" s="2">
        <f t="shared" si="0"/>
        <v>0.75</v>
      </c>
      <c r="E3" s="2">
        <f t="shared" si="0"/>
        <v>0.33333333333333331</v>
      </c>
      <c r="F3" s="2">
        <f t="shared" si="0"/>
        <v>4.083333333333333</v>
      </c>
      <c r="G3" s="2">
        <f t="shared" si="0"/>
        <v>2.0833333333333335</v>
      </c>
      <c r="H3" s="2">
        <f t="shared" si="0"/>
        <v>0</v>
      </c>
    </row>
    <row r="5" spans="1:9" x14ac:dyDescent="0.35">
      <c r="A5" t="s">
        <v>0</v>
      </c>
      <c r="B5" s="3" t="s">
        <v>5</v>
      </c>
      <c r="C5" t="s">
        <v>6</v>
      </c>
      <c r="D5" t="s">
        <v>7</v>
      </c>
      <c r="E5" t="s">
        <v>8</v>
      </c>
      <c r="F5" t="s">
        <v>4</v>
      </c>
    </row>
    <row r="6" spans="1:9" x14ac:dyDescent="0.35">
      <c r="A6" t="s">
        <v>2</v>
      </c>
      <c r="B6">
        <v>8</v>
      </c>
      <c r="C6">
        <v>35</v>
      </c>
      <c r="D6">
        <v>13</v>
      </c>
      <c r="E6">
        <v>25</v>
      </c>
      <c r="F6">
        <f>SUM(B6:E6)</f>
        <v>81</v>
      </c>
    </row>
    <row r="7" spans="1:9" x14ac:dyDescent="0.35">
      <c r="A7" t="s">
        <v>3</v>
      </c>
      <c r="B7">
        <v>9</v>
      </c>
      <c r="C7">
        <v>45</v>
      </c>
      <c r="D7">
        <v>36</v>
      </c>
      <c r="E7">
        <v>29</v>
      </c>
      <c r="F7">
        <f>SUM(B7:E7)</f>
        <v>119</v>
      </c>
    </row>
    <row r="8" spans="1:9" x14ac:dyDescent="0.35">
      <c r="A8" t="s">
        <v>4</v>
      </c>
      <c r="B8">
        <f>SUM(B6:B7)</f>
        <v>17</v>
      </c>
      <c r="C8">
        <f t="shared" ref="C8:E8" si="1">SUM(C6:C7)</f>
        <v>80</v>
      </c>
      <c r="D8">
        <f t="shared" si="1"/>
        <v>49</v>
      </c>
      <c r="E8">
        <f t="shared" si="1"/>
        <v>54</v>
      </c>
      <c r="F8">
        <f>SUM(B8:E8)</f>
        <v>200</v>
      </c>
    </row>
    <row r="10" spans="1:9" x14ac:dyDescent="0.35">
      <c r="A10" t="s">
        <v>1</v>
      </c>
      <c r="B10" t="s">
        <v>5</v>
      </c>
      <c r="C10" t="s">
        <v>6</v>
      </c>
      <c r="D10" t="s">
        <v>7</v>
      </c>
      <c r="E10" t="s">
        <v>8</v>
      </c>
      <c r="F10" t="s">
        <v>4</v>
      </c>
    </row>
    <row r="11" spans="1:9" x14ac:dyDescent="0.35">
      <c r="A11" t="s">
        <v>2</v>
      </c>
      <c r="B11" s="2">
        <f>$F11*B$13/$F$13</f>
        <v>6.8849999999999998</v>
      </c>
      <c r="C11" s="2">
        <f t="shared" ref="C11:E12" si="2">$F11*C$13/$F$13</f>
        <v>32.4</v>
      </c>
      <c r="D11" s="2">
        <f t="shared" si="2"/>
        <v>19.844999999999999</v>
      </c>
      <c r="E11" s="2">
        <f t="shared" si="2"/>
        <v>21.87</v>
      </c>
      <c r="F11">
        <v>81</v>
      </c>
    </row>
    <row r="12" spans="1:9" x14ac:dyDescent="0.35">
      <c r="A12" t="s">
        <v>3</v>
      </c>
      <c r="B12" s="2">
        <f t="shared" ref="B12:E12" si="3">$F12*B$13/$F$13</f>
        <v>10.115</v>
      </c>
      <c r="C12" s="2">
        <f t="shared" si="2"/>
        <v>47.6</v>
      </c>
      <c r="D12" s="2">
        <f t="shared" si="2"/>
        <v>29.155000000000001</v>
      </c>
      <c r="E12" s="2">
        <f t="shared" si="2"/>
        <v>32.130000000000003</v>
      </c>
      <c r="F12">
        <v>119</v>
      </c>
    </row>
    <row r="13" spans="1:9" x14ac:dyDescent="0.35">
      <c r="A13" t="s">
        <v>4</v>
      </c>
      <c r="B13">
        <v>17</v>
      </c>
      <c r="C13">
        <v>80</v>
      </c>
      <c r="D13">
        <v>49</v>
      </c>
      <c r="E13">
        <v>54</v>
      </c>
      <c r="F13">
        <v>200</v>
      </c>
    </row>
    <row r="15" spans="1:9" x14ac:dyDescent="0.35">
      <c r="A15" t="s">
        <v>1</v>
      </c>
      <c r="B15" t="s">
        <v>5</v>
      </c>
      <c r="C15" t="s">
        <v>6</v>
      </c>
      <c r="D15" t="s">
        <v>7</v>
      </c>
      <c r="E15" t="s">
        <v>8</v>
      </c>
      <c r="F15" t="s">
        <v>4</v>
      </c>
    </row>
    <row r="16" spans="1:9" x14ac:dyDescent="0.35">
      <c r="A16" t="s">
        <v>2</v>
      </c>
      <c r="B16" s="2">
        <f>(B6-B11)^2/B11</f>
        <v>0.18057007988380544</v>
      </c>
      <c r="C16" s="2">
        <f t="shared" ref="C16:E16" si="4">(C6-C11)^2/C11</f>
        <v>0.20864197530864223</v>
      </c>
      <c r="D16" s="2">
        <f t="shared" si="4"/>
        <v>2.3609989921894678</v>
      </c>
      <c r="E16" s="2">
        <f t="shared" si="4"/>
        <v>0.44796067672610851</v>
      </c>
    </row>
    <row r="17" spans="1:11" x14ac:dyDescent="0.35">
      <c r="A17" t="s">
        <v>3</v>
      </c>
      <c r="B17" s="2">
        <f t="shared" ref="B17:E17" si="5">(B7-B12)^2/B12</f>
        <v>0.12290904597132975</v>
      </c>
      <c r="C17" s="2">
        <f t="shared" si="5"/>
        <v>0.14201680672268924</v>
      </c>
      <c r="D17" s="2">
        <f t="shared" si="5"/>
        <v>1.6070665409020746</v>
      </c>
      <c r="E17" s="2">
        <f t="shared" si="5"/>
        <v>0.30491441020852833</v>
      </c>
    </row>
    <row r="18" spans="1:11" x14ac:dyDescent="0.35">
      <c r="A18" t="s">
        <v>4</v>
      </c>
      <c r="G18">
        <f>_xlfn.CHISQ.TEST(B6:E7,B11:E12)</f>
        <v>0.14630417856199321</v>
      </c>
      <c r="I18">
        <f>0.2967/SQRT(20)</f>
        <v>6.6344136892418762E-2</v>
      </c>
      <c r="J18">
        <f>I18*2.552</f>
        <v>0.16931023734945269</v>
      </c>
      <c r="K18" s="1">
        <f>2.1353+J18</f>
        <v>2.3046102373494528</v>
      </c>
    </row>
    <row r="19" spans="1:11" x14ac:dyDescent="0.35">
      <c r="K19" s="1">
        <f>2.1353-J18</f>
        <v>1.9659897626505474</v>
      </c>
    </row>
    <row r="21" spans="1:11" x14ac:dyDescent="0.35">
      <c r="A21">
        <v>1</v>
      </c>
      <c r="B21">
        <v>12</v>
      </c>
    </row>
    <row r="22" spans="1:11" x14ac:dyDescent="0.35">
      <c r="A22">
        <v>2</v>
      </c>
      <c r="B22">
        <v>21</v>
      </c>
    </row>
    <row r="23" spans="1:11" x14ac:dyDescent="0.35">
      <c r="A23">
        <v>3</v>
      </c>
      <c r="B23">
        <v>18</v>
      </c>
    </row>
    <row r="24" spans="1:11" x14ac:dyDescent="0.35">
      <c r="A24">
        <v>4</v>
      </c>
      <c r="B24">
        <v>13</v>
      </c>
    </row>
    <row r="25" spans="1:11" x14ac:dyDescent="0.35">
      <c r="A25">
        <v>5</v>
      </c>
      <c r="B25">
        <v>28</v>
      </c>
    </row>
    <row r="26" spans="1:11" x14ac:dyDescent="0.35">
      <c r="A26">
        <v>6</v>
      </c>
      <c r="B26">
        <v>20</v>
      </c>
    </row>
    <row r="27" spans="1:11" x14ac:dyDescent="0.35">
      <c r="A27">
        <v>7</v>
      </c>
      <c r="B27">
        <v>29</v>
      </c>
    </row>
    <row r="28" spans="1:11" x14ac:dyDescent="0.35">
      <c r="A28">
        <v>8</v>
      </c>
      <c r="B28">
        <v>35</v>
      </c>
    </row>
    <row r="29" spans="1:11" x14ac:dyDescent="0.35">
      <c r="A29">
        <v>9</v>
      </c>
      <c r="B29">
        <v>26</v>
      </c>
    </row>
    <row r="30" spans="1:11" x14ac:dyDescent="0.35">
      <c r="A30">
        <v>10</v>
      </c>
      <c r="B30">
        <v>20</v>
      </c>
    </row>
    <row r="31" spans="1:11" x14ac:dyDescent="0.35">
      <c r="A31">
        <v>11</v>
      </c>
      <c r="B31">
        <v>36</v>
      </c>
    </row>
    <row r="32" spans="1:11" x14ac:dyDescent="0.35">
      <c r="A32">
        <v>12</v>
      </c>
      <c r="B32">
        <v>40</v>
      </c>
    </row>
    <row r="33" spans="1:2" x14ac:dyDescent="0.35">
      <c r="A33">
        <v>13</v>
      </c>
      <c r="B33">
        <v>28</v>
      </c>
    </row>
    <row r="34" spans="1:2" x14ac:dyDescent="0.35">
      <c r="A34">
        <v>14</v>
      </c>
      <c r="B34">
        <v>52</v>
      </c>
    </row>
    <row r="35" spans="1:2" x14ac:dyDescent="0.35">
      <c r="A35">
        <v>15</v>
      </c>
      <c r="B35">
        <v>32</v>
      </c>
    </row>
    <row r="36" spans="1:2" x14ac:dyDescent="0.35">
      <c r="A36">
        <v>16</v>
      </c>
      <c r="B36">
        <v>32</v>
      </c>
    </row>
    <row r="37" spans="1:2" x14ac:dyDescent="0.35">
      <c r="A37">
        <v>17</v>
      </c>
      <c r="B37">
        <v>55</v>
      </c>
    </row>
    <row r="38" spans="1:2" x14ac:dyDescent="0.35">
      <c r="A38">
        <v>18</v>
      </c>
      <c r="B38">
        <v>56</v>
      </c>
    </row>
    <row r="39" spans="1:2" x14ac:dyDescent="0.35">
      <c r="A39">
        <v>19</v>
      </c>
      <c r="B39">
        <v>49</v>
      </c>
    </row>
    <row r="40" spans="1:2" x14ac:dyDescent="0.35">
      <c r="A40">
        <v>20</v>
      </c>
      <c r="B40">
        <v>60</v>
      </c>
    </row>
    <row r="41" spans="1:2" x14ac:dyDescent="0.35">
      <c r="A41">
        <f>STEYX(B21:B40,A21:A40)</f>
        <v>7.6507790048979825</v>
      </c>
      <c r="B41">
        <f>_xlfn.STDEV.S(B21:B40)</f>
        <v>14.664314005883734</v>
      </c>
    </row>
    <row r="42" spans="1:2" x14ac:dyDescent="0.35">
      <c r="A42">
        <f>_xlfn.STDEV.S(A21:A40)</f>
        <v>5.9160797830996161</v>
      </c>
    </row>
    <row r="44" spans="1:2" x14ac:dyDescent="0.35">
      <c r="A44">
        <v>1.2813000000000001</v>
      </c>
      <c r="B44" t="s">
        <v>9</v>
      </c>
    </row>
    <row r="45" spans="1:2" x14ac:dyDescent="0.35">
      <c r="A45">
        <v>2.9893000000000001</v>
      </c>
      <c r="B45" t="s">
        <v>10</v>
      </c>
    </row>
    <row r="46" spans="1:2" x14ac:dyDescent="0.35">
      <c r="A46">
        <f>AVERAGE(A44:A45)</f>
        <v>2.1353</v>
      </c>
      <c r="B46" t="s">
        <v>11</v>
      </c>
    </row>
    <row r="47" spans="1:2" x14ac:dyDescent="0.35">
      <c r="A47">
        <f>A45-A46</f>
        <v>0.85400000000000009</v>
      </c>
      <c r="B47" t="s">
        <v>12</v>
      </c>
    </row>
    <row r="48" spans="1:2" x14ac:dyDescent="0.35">
      <c r="A48">
        <v>2.5523796179999998</v>
      </c>
      <c r="B48" t="s">
        <v>14</v>
      </c>
    </row>
    <row r="49" spans="1:2" x14ac:dyDescent="0.35">
      <c r="A49">
        <f>A47/A48</f>
        <v>0.33458972716181601</v>
      </c>
      <c r="B49" t="s">
        <v>13</v>
      </c>
    </row>
    <row r="50" spans="1:2" x14ac:dyDescent="0.35">
      <c r="A50">
        <v>7.6507790048979825</v>
      </c>
      <c r="B50" t="s">
        <v>15</v>
      </c>
    </row>
    <row r="51" spans="1:2" x14ac:dyDescent="0.35">
      <c r="A51">
        <f>A50/(A49*SQRT(19))</f>
        <v>5.2458546620030972</v>
      </c>
      <c r="B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2024-04-16T19:03:36Z</dcterms:created>
  <dcterms:modified xsi:type="dcterms:W3CDTF">2024-04-16T23:45:36Z</dcterms:modified>
</cp:coreProperties>
</file>