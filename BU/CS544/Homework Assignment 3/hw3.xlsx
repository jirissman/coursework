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iatx-my.sharepoint.com/personal/joseph_rissman_intelliatx_com/Documents/source_code/coursework/BU/CS544/Homework Assignment 3/"/>
    </mc:Choice>
  </mc:AlternateContent>
  <xr:revisionPtr revIDLastSave="17" documentId="8_{F8CA7F76-D9A7-464E-B3D8-E31AFEA54E76}" xr6:coauthVersionLast="47" xr6:coauthVersionMax="47" xr10:uidLastSave="{4AECB0F7-A3D3-46CB-94DC-37DA3C4EE910}"/>
  <bookViews>
    <workbookView xWindow="-110" yWindow="-110" windowWidth="19420" windowHeight="10420" xr2:uid="{0FC871C6-9994-42D5-BA82-6D1A1517A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3" i="1"/>
  <c r="E32" i="1"/>
  <c r="E31" i="1"/>
  <c r="D30" i="1"/>
  <c r="E30" i="1"/>
  <c r="E2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B30" i="1"/>
  <c r="A30" i="1"/>
  <c r="B29" i="1"/>
  <c r="A29" i="1"/>
</calcChain>
</file>

<file path=xl/sharedStrings.xml><?xml version="1.0" encoding="utf-8"?>
<sst xmlns="http://schemas.openxmlformats.org/spreadsheetml/2006/main" count="2" uniqueCount="2">
  <si>
    <t>Latitude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</si>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</sst>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0D64-AE07-4FC4-8790-668B5F15EEA8}">
  <dimension ref="A1:E34"/>
  <sheetViews>
    <sheetView tabSelected="1" workbookViewId="0">
      <selection activeCell="F3" sqref="F3"/>
    </sheetView>
  </sheetViews>
  <sheetFormatPr defaultRowHeight="14.5" x14ac:dyDescent="0.35"/>
  <sheetData>
    <row r="1" spans="1:5" x14ac:dyDescent="0.35">
      <c r="A1" t="s">
        <v>0</v>
      </c>
      <c r="B1" t="s">
        <v>1</v>
      </c>
    </row>
    <row r="2" spans="1:5" x14ac:dyDescent="0.35">
      <c r="A2">
        <v>42.6</v>
      </c>
      <c r="B2">
        <v>22.2</v>
      </c>
      <c r="C2">
        <f>(A2-A$29)/A$30</f>
        <v>0.52413348982524877</v>
      </c>
      <c r="D2">
        <f>(B2-B$29)/B$30</f>
        <v>-0.98274310241310614</v>
      </c>
      <c r="E2">
        <f>C2*D2</f>
        <v>-0.51508857186947321</v>
      </c>
    </row>
    <row r="3" spans="1:5" x14ac:dyDescent="0.35">
      <c r="A3">
        <v>61.2</v>
      </c>
      <c r="B3">
        <v>15.8</v>
      </c>
      <c r="C3">
        <f t="shared" ref="C3:D26" si="0">(A3-A$29)/A$30</f>
        <v>2.8321076637716591</v>
      </c>
      <c r="D3">
        <f t="shared" si="0"/>
        <v>-1.3944710322012626</v>
      </c>
      <c r="E3">
        <f t="shared" ref="E3:E26" si="1">C3*D3</f>
        <v>-3.9492920972047716</v>
      </c>
    </row>
    <row r="4" spans="1:5" x14ac:dyDescent="0.35">
      <c r="A4">
        <v>33.700000000000003</v>
      </c>
      <c r="B4">
        <v>42.7</v>
      </c>
      <c r="C4">
        <f t="shared" si="0"/>
        <v>-0.58021974394480735</v>
      </c>
      <c r="D4">
        <f t="shared" si="0"/>
        <v>0.33607292268958305</v>
      </c>
      <c r="E4">
        <f t="shared" si="1"/>
        <v>-0.19499614514973293</v>
      </c>
    </row>
    <row r="5" spans="1:5" x14ac:dyDescent="0.35">
      <c r="A5">
        <v>30.3</v>
      </c>
      <c r="B5">
        <v>50.2</v>
      </c>
      <c r="C5">
        <f t="shared" si="0"/>
        <v>-1.0021074961715708</v>
      </c>
      <c r="D5">
        <f t="shared" si="0"/>
        <v>0.81856659041007906</v>
      </c>
      <c r="E5">
        <f t="shared" si="1"/>
        <v>-0.8202917163655441</v>
      </c>
    </row>
    <row r="6" spans="1:5" x14ac:dyDescent="0.35">
      <c r="A6">
        <v>46.8</v>
      </c>
      <c r="B6">
        <v>10.199999999999999</v>
      </c>
      <c r="C6">
        <f t="shared" si="0"/>
        <v>1.0452889484583086</v>
      </c>
      <c r="D6">
        <f t="shared" si="0"/>
        <v>-1.7547329707658998</v>
      </c>
      <c r="E6">
        <f t="shared" si="1"/>
        <v>-1.8342029818370114</v>
      </c>
    </row>
    <row r="7" spans="1:5" x14ac:dyDescent="0.35">
      <c r="A7">
        <v>43.6</v>
      </c>
      <c r="B7">
        <v>30.2</v>
      </c>
      <c r="C7">
        <f t="shared" si="0"/>
        <v>0.6482181228331203</v>
      </c>
      <c r="D7">
        <f t="shared" si="0"/>
        <v>-0.4680831901779105</v>
      </c>
      <c r="E7">
        <f t="shared" si="1"/>
        <v>-0.3034200068668636</v>
      </c>
    </row>
    <row r="8" spans="1:5" x14ac:dyDescent="0.35">
      <c r="A8">
        <v>42.4</v>
      </c>
      <c r="B8">
        <v>29.3</v>
      </c>
      <c r="C8">
        <f t="shared" si="0"/>
        <v>0.49931656322367413</v>
      </c>
      <c r="D8">
        <f t="shared" si="0"/>
        <v>-0.52598243030436986</v>
      </c>
      <c r="E8">
        <f t="shared" si="1"/>
        <v>-0.26263173941561369</v>
      </c>
    </row>
    <row r="9" spans="1:5" x14ac:dyDescent="0.35">
      <c r="A9">
        <v>32.799999999999997</v>
      </c>
      <c r="B9">
        <v>47.9</v>
      </c>
      <c r="C9">
        <f t="shared" si="0"/>
        <v>-0.6918959136518924</v>
      </c>
      <c r="D9">
        <f t="shared" si="0"/>
        <v>0.67060186564245994</v>
      </c>
      <c r="E9">
        <f t="shared" si="1"/>
        <v>-0.46398669052535341</v>
      </c>
    </row>
    <row r="10" spans="1:5" x14ac:dyDescent="0.35">
      <c r="A10">
        <v>41.9</v>
      </c>
      <c r="B10">
        <v>22</v>
      </c>
      <c r="C10">
        <f t="shared" si="0"/>
        <v>0.43727424671973841</v>
      </c>
      <c r="D10">
        <f t="shared" si="0"/>
        <v>-0.99560960021898604</v>
      </c>
      <c r="E10">
        <f t="shared" si="1"/>
        <v>-0.43535443796269702</v>
      </c>
    </row>
    <row r="11" spans="1:5" x14ac:dyDescent="0.35">
      <c r="A11">
        <v>41.5</v>
      </c>
      <c r="B11">
        <v>25.7</v>
      </c>
      <c r="C11">
        <f t="shared" si="0"/>
        <v>0.38764039351658997</v>
      </c>
      <c r="D11">
        <f t="shared" si="0"/>
        <v>-0.75757939081020809</v>
      </c>
      <c r="E11">
        <f t="shared" si="1"/>
        <v>-0.29366837317372757</v>
      </c>
    </row>
    <row r="12" spans="1:5" x14ac:dyDescent="0.35">
      <c r="A12">
        <v>39.700000000000003</v>
      </c>
      <c r="B12">
        <v>29.2</v>
      </c>
      <c r="C12">
        <f t="shared" si="0"/>
        <v>0.16428805410242162</v>
      </c>
      <c r="D12">
        <f t="shared" si="0"/>
        <v>-0.53241567920730992</v>
      </c>
      <c r="E12">
        <f t="shared" si="1"/>
        <v>-8.7469535910588078E-2</v>
      </c>
    </row>
    <row r="13" spans="1:5" x14ac:dyDescent="0.35">
      <c r="A13">
        <v>21.3</v>
      </c>
      <c r="B13">
        <v>73</v>
      </c>
      <c r="C13">
        <f t="shared" si="0"/>
        <v>-2.1188691932424142</v>
      </c>
      <c r="D13">
        <f t="shared" si="0"/>
        <v>2.2853473402803868</v>
      </c>
      <c r="E13">
        <f t="shared" si="1"/>
        <v>-4.8423520751786002</v>
      </c>
    </row>
    <row r="14" spans="1:5" x14ac:dyDescent="0.35">
      <c r="A14">
        <v>32.299999999999997</v>
      </c>
      <c r="B14">
        <v>45</v>
      </c>
      <c r="C14">
        <f t="shared" si="0"/>
        <v>-0.75393823015582817</v>
      </c>
      <c r="D14">
        <f t="shared" si="0"/>
        <v>0.48403764745720163</v>
      </c>
      <c r="E14">
        <f t="shared" si="1"/>
        <v>-0.3649344872526733</v>
      </c>
    </row>
    <row r="15" spans="1:5" x14ac:dyDescent="0.35">
      <c r="A15">
        <v>36</v>
      </c>
      <c r="B15">
        <v>37.6</v>
      </c>
      <c r="C15">
        <f t="shared" si="0"/>
        <v>-0.29482508802670326</v>
      </c>
      <c r="D15">
        <f t="shared" si="0"/>
        <v>7.977228639645683E-3</v>
      </c>
      <c r="E15">
        <f t="shared" si="1"/>
        <v>-2.3518871358926769E-3</v>
      </c>
    </row>
    <row r="16" spans="1:5" x14ac:dyDescent="0.35">
      <c r="A16">
        <v>36.200000000000003</v>
      </c>
      <c r="B16">
        <v>47</v>
      </c>
      <c r="C16">
        <f t="shared" si="0"/>
        <v>-0.27000816142512862</v>
      </c>
      <c r="D16">
        <f t="shared" si="0"/>
        <v>0.61270262551600052</v>
      </c>
      <c r="E16">
        <f t="shared" si="1"/>
        <v>-0.16543470941592439</v>
      </c>
    </row>
    <row r="17" spans="1:5" x14ac:dyDescent="0.35">
      <c r="A17">
        <v>34.1</v>
      </c>
      <c r="B17">
        <v>57.1</v>
      </c>
      <c r="C17">
        <f t="shared" si="0"/>
        <v>-0.53058589074165896</v>
      </c>
      <c r="D17">
        <f t="shared" si="0"/>
        <v>1.2624607647129351</v>
      </c>
      <c r="E17">
        <f t="shared" si="1"/>
        <v>-0.66984386937160856</v>
      </c>
    </row>
    <row r="18" spans="1:5" x14ac:dyDescent="0.35">
      <c r="A18">
        <v>43.1</v>
      </c>
      <c r="B18">
        <v>17.3</v>
      </c>
      <c r="C18">
        <f t="shared" si="0"/>
        <v>0.58617580632918453</v>
      </c>
      <c r="D18">
        <f t="shared" si="0"/>
        <v>-1.2979722986571636</v>
      </c>
      <c r="E18">
        <f t="shared" si="1"/>
        <v>-0.76083995875830801</v>
      </c>
    </row>
    <row r="19" spans="1:5" x14ac:dyDescent="0.35">
      <c r="A19">
        <v>25.8</v>
      </c>
      <c r="B19">
        <v>68.099999999999994</v>
      </c>
      <c r="C19">
        <f t="shared" si="0"/>
        <v>-1.5604883447069926</v>
      </c>
      <c r="D19">
        <f t="shared" si="0"/>
        <v>1.9701181440363289</v>
      </c>
      <c r="E19">
        <f t="shared" si="1"/>
        <v>-3.0743464014644633</v>
      </c>
    </row>
    <row r="20" spans="1:5" x14ac:dyDescent="0.35">
      <c r="A20">
        <v>40.700000000000003</v>
      </c>
      <c r="B20">
        <v>31.3</v>
      </c>
      <c r="C20">
        <f t="shared" si="0"/>
        <v>0.28837268711029312</v>
      </c>
      <c r="D20">
        <f t="shared" si="0"/>
        <v>-0.39731745224557097</v>
      </c>
      <c r="E20">
        <f t="shared" si="1"/>
        <v>-0.11457550133987086</v>
      </c>
    </row>
    <row r="21" spans="1:5" x14ac:dyDescent="0.35">
      <c r="A21">
        <v>30</v>
      </c>
      <c r="B21">
        <v>52.6</v>
      </c>
      <c r="C21">
        <f t="shared" si="0"/>
        <v>-1.0393328860739324</v>
      </c>
      <c r="D21">
        <f t="shared" si="0"/>
        <v>0.97296456408063758</v>
      </c>
      <c r="E21">
        <f t="shared" si="1"/>
        <v>-1.0112340684335945</v>
      </c>
    </row>
    <row r="22" spans="1:5" x14ac:dyDescent="0.35">
      <c r="A22">
        <v>47</v>
      </c>
      <c r="B22">
        <v>38.1</v>
      </c>
      <c r="C22">
        <f t="shared" si="0"/>
        <v>1.0701058750598833</v>
      </c>
      <c r="D22">
        <f t="shared" si="0"/>
        <v>4.0143473154345417E-2</v>
      </c>
      <c r="E22">
        <f t="shared" si="1"/>
        <v>4.2957766467773738E-2</v>
      </c>
    </row>
    <row r="23" spans="1:5" x14ac:dyDescent="0.35">
      <c r="A23">
        <v>45.5</v>
      </c>
      <c r="B23">
        <v>39.9</v>
      </c>
      <c r="C23">
        <f t="shared" si="0"/>
        <v>0.883978925548076</v>
      </c>
      <c r="D23">
        <f t="shared" si="0"/>
        <v>0.15594195340726427</v>
      </c>
      <c r="E23">
        <f t="shared" si="1"/>
        <v>0.13784940042082161</v>
      </c>
    </row>
    <row r="24" spans="1:5" x14ac:dyDescent="0.35">
      <c r="A24">
        <v>33.4</v>
      </c>
      <c r="B24">
        <v>40</v>
      </c>
      <c r="C24">
        <f t="shared" si="0"/>
        <v>-0.61744513384716937</v>
      </c>
      <c r="D24">
        <f t="shared" si="0"/>
        <v>0.1623752023102043</v>
      </c>
      <c r="E24">
        <f t="shared" si="1"/>
        <v>-0.1002577785238853</v>
      </c>
    </row>
    <row r="25" spans="1:5" x14ac:dyDescent="0.35">
      <c r="A25">
        <v>38.6</v>
      </c>
      <c r="B25">
        <v>29.6</v>
      </c>
      <c r="C25">
        <f t="shared" si="0"/>
        <v>2.7794957793762801E-2</v>
      </c>
      <c r="D25">
        <f t="shared" si="0"/>
        <v>-0.50668268359555002</v>
      </c>
      <c r="E25">
        <f t="shared" si="1"/>
        <v>-1.4083223805368784E-2</v>
      </c>
    </row>
    <row r="26" spans="1:5" x14ac:dyDescent="0.35">
      <c r="A26">
        <v>38.9</v>
      </c>
      <c r="B26">
        <v>34.9</v>
      </c>
      <c r="C26">
        <f t="shared" si="0"/>
        <v>6.5020347696123901E-2</v>
      </c>
      <c r="D26">
        <f t="shared" si="0"/>
        <v>-0.16572049173973305</v>
      </c>
      <c r="E26">
        <f t="shared" si="1"/>
        <v>-1.0775203993290072E-2</v>
      </c>
    </row>
    <row r="29" spans="1:5" x14ac:dyDescent="0.35">
      <c r="A29">
        <f>AVERAGE(A2:A26)</f>
        <v>38.376000000000005</v>
      </c>
      <c r="B29">
        <f>AVERAGE(B2:B26)</f>
        <v>37.475999999999999</v>
      </c>
      <c r="E29">
        <f>SUM(E2:E26)/(COUNT(E2:E26)-1)</f>
        <v>-0.83794267891942742</v>
      </c>
    </row>
    <row r="30" spans="1:5" x14ac:dyDescent="0.35">
      <c r="A30">
        <f>_xlfn.STDEV.S(A2:A26)</f>
        <v>8.0590156553597048</v>
      </c>
      <c r="B30">
        <f>_xlfn.STDEV.S(B2:B26)</f>
        <v>15.544245451827731</v>
      </c>
      <c r="D30">
        <f>B30/A30</f>
        <v>1.9288019922743198</v>
      </c>
      <c r="E30">
        <f>E29*B30/A30</f>
        <v>-1.6162255085114723</v>
      </c>
    </row>
    <row r="31" spans="1:5" x14ac:dyDescent="0.35">
      <c r="E31">
        <f>E30*A29</f>
        <v>-62.024270114636266</v>
      </c>
    </row>
    <row r="32" spans="1:5" x14ac:dyDescent="0.35">
      <c r="E32">
        <f>B29-E31</f>
        <v>99.500270114636265</v>
      </c>
    </row>
    <row r="33" spans="5:5" x14ac:dyDescent="0.35">
      <c r="E33">
        <f>E29*E29</f>
        <v>0.70214793315466661</v>
      </c>
    </row>
    <row r="34" spans="5:5" x14ac:dyDescent="0.35">
      <c r="E34">
        <f>0.654^2</f>
        <v>0.42771600000000004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dcterms:created xsi:type="dcterms:W3CDTF">2024-02-23T00:19:33Z</dcterms:created>
  <dcterms:modified xsi:type="dcterms:W3CDTF">2024-02-23T01:59:46Z</dcterms:modified>
</cp:coreProperties>
</file>