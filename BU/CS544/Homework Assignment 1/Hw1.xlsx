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544/"/>
    </mc:Choice>
  </mc:AlternateContent>
  <xr:revisionPtr revIDLastSave="401" documentId="8_{D0AC0D53-19D6-4D17-BCC6-4CA6B71DCE86}" xr6:coauthVersionLast="47" xr6:coauthVersionMax="47" xr10:uidLastSave="{6F875D78-28B4-437C-A923-B9FB8A8CBD41}"/>
  <bookViews>
    <workbookView xWindow="-110" yWindow="-110" windowWidth="19420" windowHeight="10420" activeTab="6" xr2:uid="{EC590EFF-3C5A-48D7-BA0F-AE89F052AB9E}"/>
  </bookViews>
  <sheets>
    <sheet name="Sheet2" sheetId="2" r:id="rId1"/>
    <sheet name="Sheet3" sheetId="3" r:id="rId2"/>
    <sheet name="Sheet4" sheetId="4" r:id="rId3"/>
    <sheet name="Sheet1" sheetId="1" r:id="rId4"/>
    <sheet name="Sheet5" sheetId="5" r:id="rId5"/>
    <sheet name="Sheet7" sheetId="7" r:id="rId6"/>
    <sheet name="Sheet6" sheetId="8" r:id="rId7"/>
  </sheets>
  <definedNames>
    <definedName name="_xlchart.v1.0" hidden="1">Sheet5!$A$1</definedName>
    <definedName name="_xlchart.v1.1" hidden="1">Sheet5!$A$2:$A$32</definedName>
    <definedName name="_xlchart.v1.2" hidden="1">Sheet6!$A$2:$A$17</definedName>
    <definedName name="_xlchart.v1.3" hidden="1">Sheet6!$C$1</definedName>
    <definedName name="_xlchart.v1.4" hidden="1">Sheet6!$C$2:$C$17</definedName>
    <definedName name="_xlchart.v1.5" hidden="1">Sheet6!$A$2:$A$17</definedName>
    <definedName name="_xlchart.v1.6" hidden="1">Sheet6!$C$1</definedName>
    <definedName name="_xlchart.v1.7" hidden="1">Sheet6!$C$2:$C$17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8" l="1"/>
  <c r="L17" i="8"/>
  <c r="J17" i="8"/>
  <c r="I17" i="8"/>
  <c r="H17" i="8"/>
  <c r="G17" i="8"/>
  <c r="M16" i="8"/>
  <c r="L16" i="8"/>
  <c r="K16" i="8"/>
  <c r="J16" i="8"/>
  <c r="I16" i="8"/>
  <c r="H16" i="8"/>
  <c r="G16" i="8"/>
  <c r="K17" i="8"/>
  <c r="U14" i="8"/>
  <c r="T14" i="8"/>
  <c r="U10" i="8"/>
  <c r="T10" i="8"/>
  <c r="U6" i="8"/>
  <c r="T6" i="8"/>
  <c r="U2" i="8"/>
  <c r="T2" i="8"/>
  <c r="S14" i="8"/>
  <c r="R14" i="8"/>
  <c r="S10" i="8"/>
  <c r="R10" i="8"/>
  <c r="S6" i="8"/>
  <c r="R6" i="8"/>
  <c r="S2" i="8"/>
  <c r="R2" i="8"/>
  <c r="M14" i="8"/>
  <c r="M10" i="8"/>
  <c r="N10" i="8" s="1"/>
  <c r="M6" i="8"/>
  <c r="N6" i="8" s="1"/>
  <c r="M2" i="8"/>
  <c r="Q14" i="8"/>
  <c r="P14" i="8"/>
  <c r="Q10" i="8"/>
  <c r="P10" i="8"/>
  <c r="Q6" i="8"/>
  <c r="P6" i="8"/>
  <c r="Q2" i="8"/>
  <c r="P2" i="8"/>
  <c r="O14" i="8"/>
  <c r="O10" i="8"/>
  <c r="O6" i="8"/>
  <c r="O2" i="8"/>
  <c r="N14" i="8"/>
  <c r="N2" i="8"/>
  <c r="L14" i="8"/>
  <c r="K14" i="8"/>
  <c r="J14" i="8"/>
  <c r="I14" i="8"/>
  <c r="H14" i="8"/>
  <c r="L10" i="8"/>
  <c r="K10" i="8"/>
  <c r="J10" i="8"/>
  <c r="I10" i="8"/>
  <c r="H10" i="8"/>
  <c r="L6" i="8"/>
  <c r="K6" i="8"/>
  <c r="J6" i="8"/>
  <c r="I6" i="8"/>
  <c r="H6" i="8"/>
  <c r="L2" i="8"/>
  <c r="K2" i="8"/>
  <c r="J2" i="8"/>
  <c r="I2" i="8"/>
  <c r="H2" i="8"/>
  <c r="G14" i="8"/>
  <c r="G10" i="8"/>
  <c r="G6" i="8"/>
  <c r="G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" i="7"/>
  <c r="O5" i="5"/>
  <c r="O4" i="5"/>
  <c r="O3" i="5"/>
  <c r="O2" i="5"/>
  <c r="C2" i="5" a="1"/>
  <c r="C2" i="5" s="1"/>
  <c r="D2" i="5" s="1"/>
  <c r="O17" i="8" l="1"/>
  <c r="P17" i="8" s="1"/>
  <c r="S17" i="8"/>
  <c r="U17" i="8" s="1"/>
  <c r="S16" i="8"/>
  <c r="U16" i="8" s="1"/>
  <c r="N17" i="8"/>
  <c r="O16" i="8"/>
  <c r="P16" i="8" s="1"/>
  <c r="N16" i="8"/>
  <c r="R17" i="8"/>
  <c r="T17" i="8" s="1"/>
  <c r="R16" i="8"/>
  <c r="T16" i="8" s="1"/>
  <c r="D14" i="5"/>
  <c r="D15" i="5" s="1"/>
  <c r="D11" i="5"/>
  <c r="D12" i="5" s="1"/>
  <c r="D13" i="5" s="1"/>
  <c r="D10" i="5"/>
  <c r="D28" i="5"/>
  <c r="D29" i="5" s="1"/>
  <c r="D30" i="5" s="1"/>
  <c r="D27" i="5"/>
  <c r="D20" i="5"/>
  <c r="D21" i="5" s="1"/>
  <c r="D32" i="5"/>
  <c r="D7" i="5"/>
  <c r="D8" i="5" s="1"/>
  <c r="D9" i="5" s="1"/>
  <c r="D24" i="5"/>
  <c r="D25" i="5" s="1"/>
  <c r="D26" i="5" s="1"/>
  <c r="D22" i="5"/>
  <c r="D23" i="5" s="1"/>
  <c r="D16" i="5"/>
  <c r="D17" i="5" s="1"/>
  <c r="D18" i="5" s="1"/>
  <c r="D19" i="5" s="1"/>
  <c r="D5" i="5"/>
  <c r="D6" i="5" s="1"/>
  <c r="D31" i="5"/>
  <c r="D3" i="5"/>
  <c r="D4" i="5" s="1"/>
  <c r="Q17" i="8" l="1"/>
  <c r="Q1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<sst xmlns="http://schemas.openxmlformats.org/spreadsheetml/2006/main" count="246" uniqueCount="115">
  <si>
    <t>State</t>
  </si>
  <si>
    <t>Location</t>
  </si>
  <si>
    <t>AL</t>
  </si>
  <si>
    <t>South</t>
  </si>
  <si>
    <t>Republican</t>
  </si>
  <si>
    <t>AK</t>
  </si>
  <si>
    <t>West</t>
  </si>
  <si>
    <t>AZ</t>
  </si>
  <si>
    <t>Democrat</t>
  </si>
  <si>
    <t>AR</t>
  </si>
  <si>
    <t>CA</t>
  </si>
  <si>
    <t>CO</t>
  </si>
  <si>
    <t>CT</t>
  </si>
  <si>
    <t>Northeast</t>
  </si>
  <si>
    <t>DE</t>
  </si>
  <si>
    <t>FL</t>
  </si>
  <si>
    <t>GA</t>
  </si>
  <si>
    <t>HI</t>
  </si>
  <si>
    <t>ID</t>
  </si>
  <si>
    <t>IL</t>
  </si>
  <si>
    <t>Midwest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</si>
  <si>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</si>
  <si>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</si>
  <si>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</si>
  <si>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</si>
  <si>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</si>
  <si>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</si>
  <si>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</si>
  <si>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</si>
  <si>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</si>
  <si>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</si>
  <si>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</si>
  <si>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</si>
  <si>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</si>
  <si>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</si>
  <si>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</si>
  <si>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</si>
  <si>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</si>
  <si>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</si>
  <si>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</si>
  <si>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</si>
  <si>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</si>
  <si>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</si>
  <si>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</si>
  <si>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</si>
  <si>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</si>
  <si>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</si>
  <si>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</si>
  <si>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</si>
  <si>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</si>
  <si>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</si>
  <si>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</si>
  <si>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</si>
  <si>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</si>
  <si>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</si>
  <si>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</si>
  <si>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</si>
  <si>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</si>
  <si>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Electoral College Vote in 2020</t>
  </si>
  <si>
    <t>Count of State</t>
  </si>
  <si>
    <t>Row Labels</t>
  </si>
  <si>
    <t>Grand Total</t>
  </si>
  <si>
    <t>Voting Majority</t>
  </si>
  <si>
    <t xml:space="preserve"> </t>
  </si>
  <si>
    <t>value</t>
  </si>
  <si>
    <t>frequency</t>
  </si>
  <si>
    <t>step</t>
  </si>
  <si>
    <t>base</t>
  </si>
  <si>
    <t>Degrees Fahrenheit</t>
  </si>
  <si>
    <t>Count of Days</t>
  </si>
  <si>
    <t>[75,80]</t>
  </si>
  <si>
    <t>(80,85]</t>
  </si>
  <si>
    <t>(85,90]</t>
  </si>
  <si>
    <t>(90,95]</t>
  </si>
  <si>
    <t>Miles</t>
  </si>
  <si>
    <t>Cumulative Frequency</t>
  </si>
  <si>
    <t>Miles Commuted</t>
  </si>
  <si>
    <t>Cumulative Relative Frequency</t>
  </si>
  <si>
    <t>Company</t>
  </si>
  <si>
    <t>Calories</t>
  </si>
  <si>
    <t>Cholesterol</t>
  </si>
  <si>
    <t>McDonald’s</t>
  </si>
  <si>
    <t>Filet-O-Fish®</t>
  </si>
  <si>
    <t>Cheeseburger</t>
  </si>
  <si>
    <t>Wendy’s</t>
  </si>
  <si>
    <t>Baconator®</t>
  </si>
  <si>
    <t>Chick-fil-A</t>
  </si>
  <si>
    <t>Menu Item</t>
  </si>
  <si>
    <t>Burger King</t>
  </si>
  <si>
    <t>Bacon, Egg, &amp; Cheese Biscuit</t>
  </si>
  <si>
    <t>Big Mac®</t>
  </si>
  <si>
    <t>Whopper® Sandwich with Cheese</t>
  </si>
  <si>
    <t>Crispy Chicken Sandwich</t>
  </si>
  <si>
    <t>Bacon, Egg &amp; Cheese Biscuit</t>
  </si>
  <si>
    <t>Bacon Double Stack®</t>
  </si>
  <si>
    <t>Classic Chicken Sandwich</t>
  </si>
  <si>
    <t>Sausage, Egg, and Cheese Biscuit</t>
  </si>
  <si>
    <t>Chicken Biscuit</t>
  </si>
  <si>
    <t>Bacon, Egg, and Cheese Biscuit</t>
  </si>
  <si>
    <t>Grilled Chicken Sandwich</t>
  </si>
  <si>
    <t>Chicken Nuggets (8 count)</t>
  </si>
  <si>
    <t>mean</t>
  </si>
  <si>
    <t>min</t>
  </si>
  <si>
    <t>q1</t>
  </si>
  <si>
    <t>med</t>
  </si>
  <si>
    <t>q3</t>
  </si>
  <si>
    <t>max</t>
  </si>
  <si>
    <t>std.dev</t>
  </si>
  <si>
    <t>cv</t>
  </si>
  <si>
    <t>iqr</t>
  </si>
  <si>
    <t>lower</t>
  </si>
  <si>
    <t>upper</t>
  </si>
  <si>
    <t>outliers</t>
  </si>
  <si>
    <t>Northside</t>
  </si>
  <si>
    <t>Southside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</si>
</sst>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onsolas"/>
      <family val="2"/>
    </font>
    <font>
      <sz val="10"/>
      <name val="Arial"/>
    </font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164" formatCode="0.0%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[Hw1.xlsx]Sheet2!PivotTable5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by Region of the 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12</c:v>
                </c:pt>
                <c:pt idx="1">
                  <c:v>9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A-43D2-BFE3-FFF00C7D9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752448"/>
        <c:axId val="1742280384"/>
      </c:barChart>
      <c:catAx>
        <c:axId val="174075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80384"/>
        <c:crosses val="autoZero"/>
        <c:auto val="1"/>
        <c:lblAlgn val="ctr"/>
        <c:lblOffset val="100"/>
        <c:noMultiLvlLbl val="0"/>
      </c:catAx>
      <c:valAx>
        <c:axId val="17422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524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[Hw1.xlsx]Sheet3!PivotTable6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Electoral</a:t>
            </a:r>
            <a:r>
              <a:rPr lang="en-US" baseline="0"/>
              <a:t> College Vote in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Sheet3!$A$2:$A$4</c:f>
              <c:strCache>
                <c:ptCount val="2"/>
                <c:pt idx="0">
                  <c:v>Democrat</c:v>
                </c:pt>
                <c:pt idx="1">
                  <c:v>Republican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0-4E87-BD11-B0A190C7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378176"/>
        <c:axId val="1552858912"/>
      </c:barChart>
      <c:catAx>
        <c:axId val="173737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Voting Majority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58912"/>
        <c:crosses val="autoZero"/>
        <c:auto val="1"/>
        <c:lblAlgn val="ctr"/>
        <c:lblOffset val="100"/>
        <c:noMultiLvlLbl val="0"/>
      </c:catAx>
      <c:valAx>
        <c:axId val="15528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7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Temperature Highs for an Illinois town in August,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Sheet5!$C$2:$C$32</c:f>
              <c:numCache>
                <c:formatCode>General</c:formatCode>
                <c:ptCount val="31"/>
                <c:pt idx="0">
                  <c:v>75</c:v>
                </c:pt>
                <c:pt idx="1">
                  <c:v>78</c:v>
                </c:pt>
                <c:pt idx="2">
                  <c:v>78</c:v>
                </c:pt>
                <c:pt idx="3">
                  <c:v>79</c:v>
                </c:pt>
                <c:pt idx="4">
                  <c:v>79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81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  <c:pt idx="12">
                  <c:v>84</c:v>
                </c:pt>
                <c:pt idx="13">
                  <c:v>84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86</c:v>
                </c:pt>
                <c:pt idx="19">
                  <c:v>86</c:v>
                </c:pt>
                <c:pt idx="20">
                  <c:v>87</c:v>
                </c:pt>
                <c:pt idx="21">
                  <c:v>87</c:v>
                </c:pt>
                <c:pt idx="22">
                  <c:v>88</c:v>
                </c:pt>
                <c:pt idx="23">
                  <c:v>88</c:v>
                </c:pt>
                <c:pt idx="24">
                  <c:v>88</c:v>
                </c:pt>
                <c:pt idx="25">
                  <c:v>89</c:v>
                </c:pt>
                <c:pt idx="26">
                  <c:v>91</c:v>
                </c:pt>
                <c:pt idx="27">
                  <c:v>91</c:v>
                </c:pt>
                <c:pt idx="28">
                  <c:v>91</c:v>
                </c:pt>
                <c:pt idx="29">
                  <c:v>94</c:v>
                </c:pt>
                <c:pt idx="30">
                  <c:v>95</c:v>
                </c:pt>
              </c:numCache>
            </c:numRef>
          </c:xVal>
          <c:yVal>
            <c:numRef>
              <c:f>Sheet5!$D$2:$D$32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0-4EF2-B6CC-11E484B6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047744"/>
        <c:axId val="1069497024"/>
      </c:scatterChart>
      <c:valAx>
        <c:axId val="907047744"/>
        <c:scaling>
          <c:orientation val="minMax"/>
          <c:max val="95"/>
          <c:min val="7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</a:t>
                </a:r>
                <a:r>
                  <a:rPr lang="en-US" baseline="0"/>
                  <a:t> Fahrenheit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265032660391136"/>
              <c:y val="0.808905080894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97024"/>
        <c:crosses val="autoZero"/>
        <c:crossBetween val="midCat"/>
        <c:majorUnit val="1"/>
      </c:valAx>
      <c:valAx>
        <c:axId val="1069497024"/>
        <c:scaling>
          <c:orientation val="minMax"/>
          <c:max val="3"/>
          <c:min val="-0.5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crossAx val="90704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</a:t>
            </a:r>
            <a:r>
              <a:rPr lang="en-US" baseline="0"/>
              <a:t> of Commute to Work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Sheet7!$E$1</c:f>
              <c:strCache>
                <c:ptCount val="1"/>
                <c:pt idx="0">
                  <c:v>Cumulative Relative 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Sheet7!$C$2:$C$31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Sheet7!$E$2:$E$31</c:f>
              <c:numCache>
                <c:formatCode>0.0%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6.6666666666666666E-2</c:v>
                </c:pt>
                <c:pt idx="3">
                  <c:v>0.13333333333333333</c:v>
                </c:pt>
                <c:pt idx="4">
                  <c:v>0.2</c:v>
                </c:pt>
                <c:pt idx="5">
                  <c:v>0.33333333333333331</c:v>
                </c:pt>
                <c:pt idx="6">
                  <c:v>0.36666666666666664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0.6333333333333333</c:v>
                </c:pt>
                <c:pt idx="11">
                  <c:v>0.66666666666666663</c:v>
                </c:pt>
                <c:pt idx="12">
                  <c:v>0.76666666666666672</c:v>
                </c:pt>
                <c:pt idx="13">
                  <c:v>0.83333333333333337</c:v>
                </c:pt>
                <c:pt idx="14">
                  <c:v>0.8666666666666667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0.96666666666666667</c:v>
                </c:pt>
                <c:pt idx="19">
                  <c:v>0.96666666666666667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C-401B-9993-EF7F2E14C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153248"/>
        <c:axId val="1590273696"/>
      </c:scatterChart>
      <c:valAx>
        <c:axId val="51715324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73696"/>
        <c:crosses val="autoZero"/>
        <c:crossBetween val="midCat"/>
      </c:valAx>
      <c:valAx>
        <c:axId val="15902736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5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Temperature Highs for an Illinois town in August,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Temperature Highs for an Illinois town in August, 2022</a:t>
          </a:r>
        </a:p>
      </cx:txPr>
    </cx:title>
    <cx:plotArea>
      <cx:plotAreaRegion>
        <cx:series layoutId="clusteredColumn" uniqueId="{797811A9-27DC-47BE-9CA7-B98F54E50DE3}">
          <cx:tx>
            <cx:txData>
              <cx:f>_xlchart.v1.0</cx:f>
              <cx:v>Degrees Fahrenheit</cx:v>
            </cx:txData>
          </cx:tx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tle>
          <cx:tx>
            <cx:txData>
              <cx:v>Degrees Fahrenheit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Degrees Fahrenheit</a:t>
              </a:r>
            </a:p>
          </cx:txPr>
        </cx:title>
        <cx:tickLabels/>
      </cx:axis>
      <cx:axis id="1">
        <cx:valScaling/>
        <cx:title>
          <cx:tx>
            <cx:txData>
              <cx:v>Count of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 of Days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Calories from 4 Randomly Selected Menu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Calories from 4 Randomly Selected Menu Items</a:t>
          </a:r>
        </a:p>
      </cx:txPr>
    </cx:title>
    <cx:plotArea>
      <cx:plotAreaRegion>
        <cx:series layoutId="boxWhisker" uniqueId="{F9E539E1-4B16-4B9F-B2A4-566DDCDE28F7}">
          <cx:tx>
            <cx:txData>
              <cx:f>_xlchart.v1.6</cx:f>
              <cx:v>Calories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Company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Company</a:t>
              </a:r>
            </a:p>
          </cx:txPr>
        </cx:title>
        <cx:tickLabels/>
      </cx:axis>
      <cx:axis id="1">
        <cx:valScaling/>
        <cx:title>
          <cx:tx>
            <cx:txData>
              <cx:v>Calories (kcal)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Calories (kcal)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0</xdr:row>
      <xdr:rowOff>136525</xdr:rowOff>
    </xdr:from>
    <xdr:to>
      <xdr:col>10</xdr:col>
      <xdr:colOff>31750</xdr:colOff>
      <xdr:row>15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79229-416D-B954-3292-81A40D7BB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609600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D3EA1-2D5C-EC17-ABB0-BE5942C99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22</xdr:row>
      <xdr:rowOff>158750</xdr:rowOff>
    </xdr:from>
    <xdr:to>
      <xdr:col>13</xdr:col>
      <xdr:colOff>57150</xdr:colOff>
      <xdr:row>29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A7D5C-C0CD-61E5-3D2B-F1D42DD34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539750</xdr:colOff>
      <xdr:row>3</xdr:row>
      <xdr:rowOff>180975</xdr:rowOff>
    </xdr:from>
    <xdr:to>
      <xdr:col>11</xdr:col>
      <xdr:colOff>488950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16633A9-96DE-3384-A077-361F6A87B7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1350" y="917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479425</xdr:rowOff>
    </xdr:from>
    <xdr:to>
      <xdr:col>14</xdr:col>
      <xdr:colOff>44450</xdr:colOff>
      <xdr:row>15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A4944-E25A-5C0D-7383-C3BF7250D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368300</xdr:colOff>
      <xdr:row>0</xdr:row>
      <xdr:rowOff>104775</xdr:rowOff>
    </xdr:from>
    <xdr:to>
      <xdr:col>28</xdr:col>
      <xdr:colOff>317500</xdr:colOff>
      <xdr:row>15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EF3B958E-5C2F-D217-7080-1873D4E6D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21150" y="104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Rissman" refreshedDate="45326.56276724537" createdVersion="8" refreshedVersion="8" minRefreshableVersion="3" recordCount="50" xr:uid="{AFB23823-0805-415A-AD98-EA4B806D8004}">
  <cacheSource type="worksheet">
    <worksheetSource ref="A1:C51" sheet="Sheet1"/>
  </cacheSource>
  <cacheFields count="3">
    <cacheField name="State" numFmtId="0">
      <sharedItems count="50">
        <s v="AL"/>
        <s v="AK"/>
        <s v="AZ"/>
        <s v="AR"/>
        <s v="CA"/>
        <s v="CO"/>
        <s v="CT"/>
        <s v="DE"/>
        <s v="FL"/>
        <s v="GA"/>
        <s v="HI"/>
        <s v="ID"/>
        <s v="IL"/>
        <s v="IN"/>
        <s v="IA"/>
        <s v="KS"/>
        <s v="KY"/>
        <s v="LA"/>
        <s v="ME"/>
        <s v="MD"/>
        <s v="MA"/>
        <s v="MI"/>
        <s v="MN"/>
        <s v="MS"/>
        <s v="MO"/>
        <s v="MT"/>
        <s v="NE"/>
        <s v="NV"/>
        <s v="NH"/>
        <s v="NJ"/>
        <s v="NM"/>
        <s v="NY"/>
        <s v="NC"/>
        <s v="ND"/>
        <s v="OH"/>
        <s v="OK"/>
        <s v="OR"/>
        <s v="PA"/>
        <s v="RI"/>
        <s v="SC"/>
        <s v="SD"/>
        <s v="TN"/>
        <s v="TX"/>
        <s v="UT"/>
        <s v="VT"/>
        <s v="VA"/>
        <s v="WA"/>
        <s v="WV"/>
        <s v="WI"/>
        <s v="WY"/>
      </sharedItems>
    </cacheField>
    <cacheField name="Location" numFmtId="0">
      <sharedItems count="4">
        <s v="South"/>
        <s v="West"/>
        <s v="Northeast"/>
        <s v="Midwest"/>
      </sharedItems>
    </cacheField>
    <cacheField name="Electoral College Vote in 2020" numFmtId="0">
      <sharedItems count="2">
        <s v="Republican"/>
        <s v="Democ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Rissman" refreshedDate="45326.570554976854" createdVersion="8" refreshedVersion="8" minRefreshableVersion="3" recordCount="50" xr:uid="{35F7D45C-5ADF-4B5A-B4F1-B867DC712086}">
  <cacheSource type="worksheet">
    <worksheetSource ref="A1:C51" sheet="Sheet1"/>
  </cacheSource>
  <cacheFields count="3">
    <cacheField name="State" numFmtId="0">
      <sharedItems/>
    </cacheField>
    <cacheField name="Location" numFmtId="0">
      <sharedItems count="4">
        <s v="South"/>
        <s v="West"/>
        <s v="Northeast"/>
        <s v="Midwest"/>
      </sharedItems>
    </cacheField>
    <cacheField name="Electoral College Vote in 2020" numFmtId="0">
      <sharedItems count="2">
        <s v="Republican"/>
        <s v="Democ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</r>
  <r>
    <x v="1"/>
    <x v="1"/>
    <x v="0"/>
  </r>
  <r>
    <x v="2"/>
    <x v="1"/>
    <x v="1"/>
  </r>
  <r>
    <x v="3"/>
    <x v="0"/>
    <x v="0"/>
  </r>
  <r>
    <x v="4"/>
    <x v="1"/>
    <x v="1"/>
  </r>
  <r>
    <x v="5"/>
    <x v="1"/>
    <x v="1"/>
  </r>
  <r>
    <x v="6"/>
    <x v="2"/>
    <x v="1"/>
  </r>
  <r>
    <x v="7"/>
    <x v="0"/>
    <x v="1"/>
  </r>
  <r>
    <x v="8"/>
    <x v="0"/>
    <x v="0"/>
  </r>
  <r>
    <x v="9"/>
    <x v="0"/>
    <x v="1"/>
  </r>
  <r>
    <x v="10"/>
    <x v="1"/>
    <x v="1"/>
  </r>
  <r>
    <x v="11"/>
    <x v="1"/>
    <x v="0"/>
  </r>
  <r>
    <x v="12"/>
    <x v="3"/>
    <x v="1"/>
  </r>
  <r>
    <x v="13"/>
    <x v="3"/>
    <x v="0"/>
  </r>
  <r>
    <x v="14"/>
    <x v="3"/>
    <x v="0"/>
  </r>
  <r>
    <x v="15"/>
    <x v="3"/>
    <x v="0"/>
  </r>
  <r>
    <x v="16"/>
    <x v="0"/>
    <x v="0"/>
  </r>
  <r>
    <x v="17"/>
    <x v="0"/>
    <x v="0"/>
  </r>
  <r>
    <x v="18"/>
    <x v="2"/>
    <x v="1"/>
  </r>
  <r>
    <x v="19"/>
    <x v="0"/>
    <x v="1"/>
  </r>
  <r>
    <x v="20"/>
    <x v="2"/>
    <x v="1"/>
  </r>
  <r>
    <x v="21"/>
    <x v="3"/>
    <x v="1"/>
  </r>
  <r>
    <x v="22"/>
    <x v="3"/>
    <x v="1"/>
  </r>
  <r>
    <x v="23"/>
    <x v="0"/>
    <x v="0"/>
  </r>
  <r>
    <x v="24"/>
    <x v="3"/>
    <x v="0"/>
  </r>
  <r>
    <x v="25"/>
    <x v="1"/>
    <x v="0"/>
  </r>
  <r>
    <x v="26"/>
    <x v="3"/>
    <x v="0"/>
  </r>
  <r>
    <x v="27"/>
    <x v="1"/>
    <x v="1"/>
  </r>
  <r>
    <x v="28"/>
    <x v="2"/>
    <x v="1"/>
  </r>
  <r>
    <x v="29"/>
    <x v="2"/>
    <x v="1"/>
  </r>
  <r>
    <x v="30"/>
    <x v="1"/>
    <x v="1"/>
  </r>
  <r>
    <x v="31"/>
    <x v="2"/>
    <x v="1"/>
  </r>
  <r>
    <x v="32"/>
    <x v="0"/>
    <x v="0"/>
  </r>
  <r>
    <x v="33"/>
    <x v="3"/>
    <x v="0"/>
  </r>
  <r>
    <x v="34"/>
    <x v="3"/>
    <x v="0"/>
  </r>
  <r>
    <x v="35"/>
    <x v="0"/>
    <x v="0"/>
  </r>
  <r>
    <x v="36"/>
    <x v="1"/>
    <x v="1"/>
  </r>
  <r>
    <x v="37"/>
    <x v="2"/>
    <x v="1"/>
  </r>
  <r>
    <x v="38"/>
    <x v="2"/>
    <x v="1"/>
  </r>
  <r>
    <x v="39"/>
    <x v="0"/>
    <x v="0"/>
  </r>
  <r>
    <x v="40"/>
    <x v="3"/>
    <x v="0"/>
  </r>
  <r>
    <x v="41"/>
    <x v="0"/>
    <x v="0"/>
  </r>
  <r>
    <x v="42"/>
    <x v="0"/>
    <x v="0"/>
  </r>
  <r>
    <x v="43"/>
    <x v="1"/>
    <x v="0"/>
  </r>
  <r>
    <x v="44"/>
    <x v="2"/>
    <x v="1"/>
  </r>
  <r>
    <x v="45"/>
    <x v="0"/>
    <x v="1"/>
  </r>
  <r>
    <x v="46"/>
    <x v="1"/>
    <x v="1"/>
  </r>
  <r>
    <x v="47"/>
    <x v="0"/>
    <x v="0"/>
  </r>
  <r>
    <x v="48"/>
    <x v="3"/>
    <x v="1"/>
  </r>
  <r>
    <x v="49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L"/>
    <x v="0"/>
    <x v="0"/>
  </r>
  <r>
    <s v="AK"/>
    <x v="1"/>
    <x v="0"/>
  </r>
  <r>
    <s v="AZ"/>
    <x v="1"/>
    <x v="1"/>
  </r>
  <r>
    <s v="AR"/>
    <x v="0"/>
    <x v="0"/>
  </r>
  <r>
    <s v="CA"/>
    <x v="1"/>
    <x v="1"/>
  </r>
  <r>
    <s v="CO"/>
    <x v="1"/>
    <x v="1"/>
  </r>
  <r>
    <s v="CT"/>
    <x v="2"/>
    <x v="1"/>
  </r>
  <r>
    <s v="DE"/>
    <x v="0"/>
    <x v="1"/>
  </r>
  <r>
    <s v="FL"/>
    <x v="0"/>
    <x v="0"/>
  </r>
  <r>
    <s v="GA"/>
    <x v="0"/>
    <x v="1"/>
  </r>
  <r>
    <s v="HI"/>
    <x v="1"/>
    <x v="1"/>
  </r>
  <r>
    <s v="ID"/>
    <x v="1"/>
    <x v="0"/>
  </r>
  <r>
    <s v="IL"/>
    <x v="3"/>
    <x v="1"/>
  </r>
  <r>
    <s v="IN"/>
    <x v="3"/>
    <x v="0"/>
  </r>
  <r>
    <s v="IA"/>
    <x v="3"/>
    <x v="0"/>
  </r>
  <r>
    <s v="KS"/>
    <x v="3"/>
    <x v="0"/>
  </r>
  <r>
    <s v="KY"/>
    <x v="0"/>
    <x v="0"/>
  </r>
  <r>
    <s v="LA"/>
    <x v="0"/>
    <x v="0"/>
  </r>
  <r>
    <s v="ME"/>
    <x v="2"/>
    <x v="1"/>
  </r>
  <r>
    <s v="MD"/>
    <x v="0"/>
    <x v="1"/>
  </r>
  <r>
    <s v="MA"/>
    <x v="2"/>
    <x v="1"/>
  </r>
  <r>
    <s v="MI"/>
    <x v="3"/>
    <x v="1"/>
  </r>
  <r>
    <s v="MN"/>
    <x v="3"/>
    <x v="1"/>
  </r>
  <r>
    <s v="MS"/>
    <x v="0"/>
    <x v="0"/>
  </r>
  <r>
    <s v="MO"/>
    <x v="3"/>
    <x v="0"/>
  </r>
  <r>
    <s v="MT"/>
    <x v="1"/>
    <x v="0"/>
  </r>
  <r>
    <s v="NE"/>
    <x v="3"/>
    <x v="0"/>
  </r>
  <r>
    <s v="NV"/>
    <x v="1"/>
    <x v="1"/>
  </r>
  <r>
    <s v="NH"/>
    <x v="2"/>
    <x v="1"/>
  </r>
  <r>
    <s v="NJ"/>
    <x v="2"/>
    <x v="1"/>
  </r>
  <r>
    <s v="NM"/>
    <x v="1"/>
    <x v="1"/>
  </r>
  <r>
    <s v="NY"/>
    <x v="2"/>
    <x v="1"/>
  </r>
  <r>
    <s v="NC"/>
    <x v="0"/>
    <x v="0"/>
  </r>
  <r>
    <s v="ND"/>
    <x v="3"/>
    <x v="0"/>
  </r>
  <r>
    <s v="OH"/>
    <x v="3"/>
    <x v="0"/>
  </r>
  <r>
    <s v="OK"/>
    <x v="0"/>
    <x v="0"/>
  </r>
  <r>
    <s v="OR"/>
    <x v="1"/>
    <x v="1"/>
  </r>
  <r>
    <s v="PA"/>
    <x v="2"/>
    <x v="1"/>
  </r>
  <r>
    <s v="RI"/>
    <x v="2"/>
    <x v="1"/>
  </r>
  <r>
    <s v="SC"/>
    <x v="0"/>
    <x v="0"/>
  </r>
  <r>
    <s v="SD"/>
    <x v="3"/>
    <x v="0"/>
  </r>
  <r>
    <s v="TN"/>
    <x v="0"/>
    <x v="0"/>
  </r>
  <r>
    <s v="TX"/>
    <x v="0"/>
    <x v="0"/>
  </r>
  <r>
    <s v="UT"/>
    <x v="1"/>
    <x v="0"/>
  </r>
  <r>
    <s v="VT"/>
    <x v="2"/>
    <x v="1"/>
  </r>
  <r>
    <s v="VA"/>
    <x v="0"/>
    <x v="1"/>
  </r>
  <r>
    <s v="WA"/>
    <x v="1"/>
    <x v="1"/>
  </r>
  <r>
    <s v="WV"/>
    <x v="0"/>
    <x v="0"/>
  </r>
  <r>
    <s v="WI"/>
    <x v="3"/>
    <x v="1"/>
  </r>
  <r>
    <s v="WY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AD793-0B2D-4123-A90E-1A9DD4E7E2AD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7">
  <location ref="A3:B7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tate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CB1B5-3E67-447B-A3B6-C8FCD69D483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3">
    <pivotField dataField="1" showAll="0">
      <items count="51">
        <item x="1"/>
        <item x="0"/>
        <item x="3"/>
        <item x="2"/>
        <item x="4"/>
        <item x="5"/>
        <item x="6"/>
        <item x="7"/>
        <item x="8"/>
        <item x="9"/>
        <item x="10"/>
        <item x="14"/>
        <item x="11"/>
        <item x="12"/>
        <item x="13"/>
        <item x="15"/>
        <item x="16"/>
        <item x="17"/>
        <item x="20"/>
        <item x="19"/>
        <item x="18"/>
        <item x="21"/>
        <item x="22"/>
        <item x="24"/>
        <item x="23"/>
        <item x="25"/>
        <item x="32"/>
        <item x="33"/>
        <item x="26"/>
        <item x="28"/>
        <item x="29"/>
        <item x="30"/>
        <item x="27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4"/>
        <item x="46"/>
        <item x="48"/>
        <item x="47"/>
        <item x="49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Stat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2FD29-8052-4C83-B5C5-48D402AE7EE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oting Majority" colHeaderCaption="Location">
  <location ref="A1:F5" firstHeaderRow="1" firstDataRow="2" firstDataCol="1"/>
  <pivotFields count="3">
    <pivotField dataField="1" showAll="0"/>
    <pivotField axis="axisCol" showAll="0">
      <items count="5">
        <item x="3"/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C6EF9-E935-4BDC-9577-1B6E5A07020C}" name="Table1" displayName="Table1" ref="N1:O5" totalsRowShown="0" headerRowDxfId="2">
  <autoFilter ref="N1:O5" xr:uid="{ACAC6EF9-E935-4BDC-9577-1B6E5A07020C}">
    <filterColumn colId="0" hiddenButton="1"/>
    <filterColumn colId="1" hiddenButton="1"/>
  </autoFilter>
  <tableColumns count="2">
    <tableColumn id="1" xr3:uid="{B7E77FEA-C0C8-459F-9C00-0BAE8875B8E4}" name="Degrees Fahrenheit"/>
    <tableColumn id="2" xr3:uid="{E60E4413-1197-40A8-8F4A-B4408109E884}" name="Count of Day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1C7A1-7418-4E94-B7BB-A4E8AE3B0C91}" name="Table2" displayName="Table2" ref="C1:E22" totalsRowShown="0" headerRowDxfId="1">
  <autoFilter ref="C1:E22" xr:uid="{EB01C7A1-7418-4E94-B7BB-A4E8AE3B0C91}">
    <filterColumn colId="0" hiddenButton="1"/>
    <filterColumn colId="1" hiddenButton="1"/>
    <filterColumn colId="2" hiddenButton="1"/>
  </autoFilter>
  <tableColumns count="3">
    <tableColumn id="1" xr3:uid="{915710FA-8A60-4654-845D-1D370034F270}" name="Miles Commuted"/>
    <tableColumn id="2" xr3:uid="{2FC20168-C5F5-4AD8-9728-ED14F050A03C}" name="Cumulative Frequency">
      <calculatedColumnFormula>COUNTIF(A$2:A$31,"&lt;="&amp;C2)</calculatedColumnFormula>
    </tableColumn>
    <tableColumn id="3" xr3:uid="{C5A2D295-F28C-4EA4-8428-1E632D63D993}" name="Cumulative Relative Frequency" dataDxfId="0" dataCellStyle="Percent">
      <calculatedColumnFormula>Table2[[#This Row],[Cumulative Frequency]]/30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AB2A-BC93-4D7B-9C0E-1A74B5E269CA}">
  <dimension ref="A3:B7"/>
  <sheetViews>
    <sheetView workbookViewId="0">
      <selection activeCell="E3" sqref="E3"/>
    </sheetView>
  </sheetViews>
  <sheetFormatPr defaultRowHeight="14.5" x14ac:dyDescent="0.35"/>
  <cols>
    <col min="1" max="1" width="10.83203125" bestFit="1" customWidth="1"/>
    <col min="2" max="2" width="14.83203125" bestFit="1" customWidth="1"/>
  </cols>
  <sheetData>
    <row r="3" spans="1:2" x14ac:dyDescent="0.35">
      <c r="A3" s="3" t="s">
        <v>1</v>
      </c>
      <c r="B3" t="s">
        <v>59</v>
      </c>
    </row>
    <row r="4" spans="1:2" x14ac:dyDescent="0.35">
      <c r="A4" t="s">
        <v>20</v>
      </c>
      <c r="B4" s="4">
        <v>12</v>
      </c>
    </row>
    <row r="5" spans="1:2" x14ac:dyDescent="0.35">
      <c r="A5" t="s">
        <v>13</v>
      </c>
      <c r="B5" s="4">
        <v>9</v>
      </c>
    </row>
    <row r="6" spans="1:2" x14ac:dyDescent="0.35">
      <c r="A6" t="s">
        <v>3</v>
      </c>
      <c r="B6" s="4">
        <v>16</v>
      </c>
    </row>
    <row r="7" spans="1:2" x14ac:dyDescent="0.35">
      <c r="A7" t="s">
        <v>6</v>
      </c>
      <c r="B7" s="4">
        <v>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048-EAB2-4D36-AD06-8461D90FCB72}">
  <dimension ref="A1:B4"/>
  <sheetViews>
    <sheetView workbookViewId="0"/>
  </sheetViews>
  <sheetFormatPr defaultRowHeight="14.5" x14ac:dyDescent="0.35"/>
  <cols>
    <col min="1" max="1" width="12.83203125" bestFit="1" customWidth="1"/>
    <col min="2" max="2" width="14.83203125" bestFit="1" customWidth="1"/>
  </cols>
  <sheetData>
    <row r="1" spans="1:2" x14ac:dyDescent="0.35">
      <c r="A1" s="3" t="s">
        <v>60</v>
      </c>
      <c r="B1" t="s">
        <v>59</v>
      </c>
    </row>
    <row r="2" spans="1:2" x14ac:dyDescent="0.35">
      <c r="A2" s="5" t="s">
        <v>8</v>
      </c>
      <c r="B2" s="4">
        <v>25</v>
      </c>
    </row>
    <row r="3" spans="1:2" x14ac:dyDescent="0.35">
      <c r="A3" s="5" t="s">
        <v>4</v>
      </c>
      <c r="B3" s="4">
        <v>25</v>
      </c>
    </row>
    <row r="4" spans="1:2" x14ac:dyDescent="0.35">
      <c r="A4" s="5" t="s">
        <v>61</v>
      </c>
      <c r="B4" s="4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69CA-0D5F-4D20-BFC8-F81C483194BC}">
  <dimension ref="A1:F5"/>
  <sheetViews>
    <sheetView zoomScale="173" workbookViewId="0">
      <selection activeCell="C9" sqref="C9"/>
    </sheetView>
  </sheetViews>
  <sheetFormatPr defaultRowHeight="14.5" x14ac:dyDescent="0.35"/>
  <cols>
    <col min="1" max="1" width="17.9140625" bestFit="1" customWidth="1"/>
    <col min="2" max="6" width="12" customWidth="1"/>
  </cols>
  <sheetData>
    <row r="1" spans="1:6" x14ac:dyDescent="0.35">
      <c r="A1" s="3" t="s">
        <v>63</v>
      </c>
      <c r="B1" s="3" t="s">
        <v>1</v>
      </c>
    </row>
    <row r="2" spans="1:6" x14ac:dyDescent="0.35">
      <c r="A2" s="3" t="s">
        <v>62</v>
      </c>
      <c r="B2" t="s">
        <v>20</v>
      </c>
      <c r="C2" t="s">
        <v>13</v>
      </c>
      <c r="D2" t="s">
        <v>3</v>
      </c>
      <c r="E2" t="s">
        <v>6</v>
      </c>
      <c r="F2" t="s">
        <v>61</v>
      </c>
    </row>
    <row r="3" spans="1:6" x14ac:dyDescent="0.35">
      <c r="A3" s="5" t="s">
        <v>8</v>
      </c>
      <c r="B3" s="4">
        <v>4</v>
      </c>
      <c r="C3" s="4">
        <v>9</v>
      </c>
      <c r="D3" s="4">
        <v>4</v>
      </c>
      <c r="E3" s="4">
        <v>8</v>
      </c>
      <c r="F3" s="4">
        <v>25</v>
      </c>
    </row>
    <row r="4" spans="1:6" x14ac:dyDescent="0.35">
      <c r="A4" s="5" t="s">
        <v>4</v>
      </c>
      <c r="B4" s="4">
        <v>8</v>
      </c>
      <c r="C4" s="4"/>
      <c r="D4" s="4">
        <v>12</v>
      </c>
      <c r="E4" s="4">
        <v>5</v>
      </c>
      <c r="F4" s="4">
        <v>25</v>
      </c>
    </row>
    <row r="5" spans="1:6" x14ac:dyDescent="0.35">
      <c r="A5" s="5" t="s">
        <v>61</v>
      </c>
      <c r="B5" s="4">
        <v>12</v>
      </c>
      <c r="C5" s="4">
        <v>9</v>
      </c>
      <c r="D5" s="4">
        <v>16</v>
      </c>
      <c r="E5" s="4">
        <v>13</v>
      </c>
      <c r="F5" s="4">
        <v>50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423A-0B61-4C1C-A429-13FC1BFAB3BD}">
  <dimension ref="A1:C51"/>
  <sheetViews>
    <sheetView workbookViewId="0">
      <selection sqref="A1:C51"/>
    </sheetView>
  </sheetViews>
  <sheetFormatPr defaultRowHeight="14.5" x14ac:dyDescent="0.35"/>
  <cols>
    <col min="3" max="3" width="23.1640625" bestFit="1" customWidth="1"/>
  </cols>
  <sheetData>
    <row r="1" spans="1:3" x14ac:dyDescent="0.35">
      <c r="A1" s="2" t="s">
        <v>0</v>
      </c>
      <c r="B1" s="2" t="s">
        <v>1</v>
      </c>
      <c r="C1" s="2" t="s">
        <v>58</v>
      </c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1" t="s">
        <v>5</v>
      </c>
      <c r="B3" s="1" t="s">
        <v>6</v>
      </c>
      <c r="C3" s="1" t="s">
        <v>4</v>
      </c>
    </row>
    <row r="4" spans="1:3" x14ac:dyDescent="0.35">
      <c r="A4" s="1" t="s">
        <v>7</v>
      </c>
      <c r="B4" s="1" t="s">
        <v>6</v>
      </c>
      <c r="C4" s="1" t="s">
        <v>8</v>
      </c>
    </row>
    <row r="5" spans="1:3" x14ac:dyDescent="0.35">
      <c r="A5" s="1" t="s">
        <v>9</v>
      </c>
      <c r="B5" s="1" t="s">
        <v>3</v>
      </c>
      <c r="C5" s="1" t="s">
        <v>4</v>
      </c>
    </row>
    <row r="6" spans="1:3" x14ac:dyDescent="0.35">
      <c r="A6" s="1" t="s">
        <v>10</v>
      </c>
      <c r="B6" s="1" t="s">
        <v>6</v>
      </c>
      <c r="C6" s="1" t="s">
        <v>8</v>
      </c>
    </row>
    <row r="7" spans="1:3" x14ac:dyDescent="0.35">
      <c r="A7" s="1" t="s">
        <v>11</v>
      </c>
      <c r="B7" s="1" t="s">
        <v>6</v>
      </c>
      <c r="C7" s="1" t="s">
        <v>8</v>
      </c>
    </row>
    <row r="8" spans="1:3" x14ac:dyDescent="0.35">
      <c r="A8" s="1" t="s">
        <v>12</v>
      </c>
      <c r="B8" s="1" t="s">
        <v>13</v>
      </c>
      <c r="C8" s="1" t="s">
        <v>8</v>
      </c>
    </row>
    <row r="9" spans="1:3" x14ac:dyDescent="0.35">
      <c r="A9" s="1" t="s">
        <v>14</v>
      </c>
      <c r="B9" s="1" t="s">
        <v>3</v>
      </c>
      <c r="C9" s="1" t="s">
        <v>8</v>
      </c>
    </row>
    <row r="10" spans="1:3" x14ac:dyDescent="0.35">
      <c r="A10" s="1" t="s">
        <v>15</v>
      </c>
      <c r="B10" s="1" t="s">
        <v>3</v>
      </c>
      <c r="C10" s="1" t="s">
        <v>4</v>
      </c>
    </row>
    <row r="11" spans="1:3" x14ac:dyDescent="0.35">
      <c r="A11" s="1" t="s">
        <v>16</v>
      </c>
      <c r="B11" s="1" t="s">
        <v>3</v>
      </c>
      <c r="C11" s="1" t="s">
        <v>8</v>
      </c>
    </row>
    <row r="12" spans="1:3" x14ac:dyDescent="0.35">
      <c r="A12" s="1" t="s">
        <v>17</v>
      </c>
      <c r="B12" s="1" t="s">
        <v>6</v>
      </c>
      <c r="C12" s="1" t="s">
        <v>8</v>
      </c>
    </row>
    <row r="13" spans="1:3" x14ac:dyDescent="0.35">
      <c r="A13" s="1" t="s">
        <v>18</v>
      </c>
      <c r="B13" s="1" t="s">
        <v>6</v>
      </c>
      <c r="C13" s="1" t="s">
        <v>4</v>
      </c>
    </row>
    <row r="14" spans="1:3" x14ac:dyDescent="0.35">
      <c r="A14" s="1" t="s">
        <v>19</v>
      </c>
      <c r="B14" s="1" t="s">
        <v>20</v>
      </c>
      <c r="C14" s="1" t="s">
        <v>8</v>
      </c>
    </row>
    <row r="15" spans="1:3" x14ac:dyDescent="0.35">
      <c r="A15" s="1" t="s">
        <v>21</v>
      </c>
      <c r="B15" s="1" t="s">
        <v>20</v>
      </c>
      <c r="C15" s="1" t="s">
        <v>4</v>
      </c>
    </row>
    <row r="16" spans="1:3" x14ac:dyDescent="0.35">
      <c r="A16" s="1" t="s">
        <v>22</v>
      </c>
      <c r="B16" s="1" t="s">
        <v>20</v>
      </c>
      <c r="C16" s="1" t="s">
        <v>4</v>
      </c>
    </row>
    <row r="17" spans="1:3" x14ac:dyDescent="0.35">
      <c r="A17" s="1" t="s">
        <v>23</v>
      </c>
      <c r="B17" s="1" t="s">
        <v>20</v>
      </c>
      <c r="C17" s="1" t="s">
        <v>4</v>
      </c>
    </row>
    <row r="18" spans="1:3" x14ac:dyDescent="0.35">
      <c r="A18" s="1" t="s">
        <v>24</v>
      </c>
      <c r="B18" s="1" t="s">
        <v>3</v>
      </c>
      <c r="C18" s="1" t="s">
        <v>4</v>
      </c>
    </row>
    <row r="19" spans="1:3" x14ac:dyDescent="0.35">
      <c r="A19" s="1" t="s">
        <v>25</v>
      </c>
      <c r="B19" s="1" t="s">
        <v>3</v>
      </c>
      <c r="C19" s="1" t="s">
        <v>4</v>
      </c>
    </row>
    <row r="20" spans="1:3" x14ac:dyDescent="0.35">
      <c r="A20" s="1" t="s">
        <v>26</v>
      </c>
      <c r="B20" s="1" t="s">
        <v>13</v>
      </c>
      <c r="C20" s="1" t="s">
        <v>8</v>
      </c>
    </row>
    <row r="21" spans="1:3" x14ac:dyDescent="0.35">
      <c r="A21" s="1" t="s">
        <v>27</v>
      </c>
      <c r="B21" s="1" t="s">
        <v>3</v>
      </c>
      <c r="C21" s="1" t="s">
        <v>8</v>
      </c>
    </row>
    <row r="22" spans="1:3" x14ac:dyDescent="0.35">
      <c r="A22" s="1" t="s">
        <v>28</v>
      </c>
      <c r="B22" s="1" t="s">
        <v>13</v>
      </c>
      <c r="C22" s="1" t="s">
        <v>8</v>
      </c>
    </row>
    <row r="23" spans="1:3" x14ac:dyDescent="0.35">
      <c r="A23" s="1" t="s">
        <v>29</v>
      </c>
      <c r="B23" s="1" t="s">
        <v>20</v>
      </c>
      <c r="C23" s="1" t="s">
        <v>8</v>
      </c>
    </row>
    <row r="24" spans="1:3" x14ac:dyDescent="0.35">
      <c r="A24" s="1" t="s">
        <v>30</v>
      </c>
      <c r="B24" s="1" t="s">
        <v>20</v>
      </c>
      <c r="C24" s="1" t="s">
        <v>8</v>
      </c>
    </row>
    <row r="25" spans="1:3" x14ac:dyDescent="0.35">
      <c r="A25" s="1" t="s">
        <v>31</v>
      </c>
      <c r="B25" s="1" t="s">
        <v>3</v>
      </c>
      <c r="C25" s="1" t="s">
        <v>4</v>
      </c>
    </row>
    <row r="26" spans="1:3" x14ac:dyDescent="0.35">
      <c r="A26" s="1" t="s">
        <v>32</v>
      </c>
      <c r="B26" s="1" t="s">
        <v>20</v>
      </c>
      <c r="C26" s="1" t="s">
        <v>4</v>
      </c>
    </row>
    <row r="27" spans="1:3" x14ac:dyDescent="0.35">
      <c r="A27" s="1" t="s">
        <v>33</v>
      </c>
      <c r="B27" s="1" t="s">
        <v>6</v>
      </c>
      <c r="C27" s="1" t="s">
        <v>4</v>
      </c>
    </row>
    <row r="28" spans="1:3" x14ac:dyDescent="0.35">
      <c r="A28" s="1" t="s">
        <v>34</v>
      </c>
      <c r="B28" s="1" t="s">
        <v>20</v>
      </c>
      <c r="C28" s="1" t="s">
        <v>4</v>
      </c>
    </row>
    <row r="29" spans="1:3" x14ac:dyDescent="0.35">
      <c r="A29" s="1" t="s">
        <v>35</v>
      </c>
      <c r="B29" s="1" t="s">
        <v>6</v>
      </c>
      <c r="C29" s="1" t="s">
        <v>8</v>
      </c>
    </row>
    <row r="30" spans="1:3" x14ac:dyDescent="0.35">
      <c r="A30" s="1" t="s">
        <v>36</v>
      </c>
      <c r="B30" s="1" t="s">
        <v>13</v>
      </c>
      <c r="C30" s="1" t="s">
        <v>8</v>
      </c>
    </row>
    <row r="31" spans="1:3" x14ac:dyDescent="0.35">
      <c r="A31" s="1" t="s">
        <v>37</v>
      </c>
      <c r="B31" s="1" t="s">
        <v>13</v>
      </c>
      <c r="C31" s="1" t="s">
        <v>8</v>
      </c>
    </row>
    <row r="32" spans="1:3" x14ac:dyDescent="0.35">
      <c r="A32" s="1" t="s">
        <v>38</v>
      </c>
      <c r="B32" s="1" t="s">
        <v>6</v>
      </c>
      <c r="C32" s="1" t="s">
        <v>8</v>
      </c>
    </row>
    <row r="33" spans="1:3" x14ac:dyDescent="0.35">
      <c r="A33" s="1" t="s">
        <v>39</v>
      </c>
      <c r="B33" s="1" t="s">
        <v>13</v>
      </c>
      <c r="C33" s="1" t="s">
        <v>8</v>
      </c>
    </row>
    <row r="34" spans="1:3" x14ac:dyDescent="0.35">
      <c r="A34" s="1" t="s">
        <v>40</v>
      </c>
      <c r="B34" s="1" t="s">
        <v>3</v>
      </c>
      <c r="C34" s="1" t="s">
        <v>4</v>
      </c>
    </row>
    <row r="35" spans="1:3" x14ac:dyDescent="0.35">
      <c r="A35" s="1" t="s">
        <v>41</v>
      </c>
      <c r="B35" s="1" t="s">
        <v>20</v>
      </c>
      <c r="C35" s="1" t="s">
        <v>4</v>
      </c>
    </row>
    <row r="36" spans="1:3" x14ac:dyDescent="0.35">
      <c r="A36" s="1" t="s">
        <v>42</v>
      </c>
      <c r="B36" s="1" t="s">
        <v>20</v>
      </c>
      <c r="C36" s="1" t="s">
        <v>4</v>
      </c>
    </row>
    <row r="37" spans="1:3" x14ac:dyDescent="0.35">
      <c r="A37" s="1" t="s">
        <v>43</v>
      </c>
      <c r="B37" s="1" t="s">
        <v>3</v>
      </c>
      <c r="C37" s="1" t="s">
        <v>4</v>
      </c>
    </row>
    <row r="38" spans="1:3" x14ac:dyDescent="0.35">
      <c r="A38" s="1" t="s">
        <v>44</v>
      </c>
      <c r="B38" s="1" t="s">
        <v>6</v>
      </c>
      <c r="C38" s="1" t="s">
        <v>8</v>
      </c>
    </row>
    <row r="39" spans="1:3" x14ac:dyDescent="0.35">
      <c r="A39" s="1" t="s">
        <v>45</v>
      </c>
      <c r="B39" s="1" t="s">
        <v>13</v>
      </c>
      <c r="C39" s="1" t="s">
        <v>8</v>
      </c>
    </row>
    <row r="40" spans="1:3" x14ac:dyDescent="0.35">
      <c r="A40" s="1" t="s">
        <v>46</v>
      </c>
      <c r="B40" s="1" t="s">
        <v>13</v>
      </c>
      <c r="C40" s="1" t="s">
        <v>8</v>
      </c>
    </row>
    <row r="41" spans="1:3" x14ac:dyDescent="0.35">
      <c r="A41" s="1" t="s">
        <v>47</v>
      </c>
      <c r="B41" s="1" t="s">
        <v>3</v>
      </c>
      <c r="C41" s="1" t="s">
        <v>4</v>
      </c>
    </row>
    <row r="42" spans="1:3" x14ac:dyDescent="0.35">
      <c r="A42" s="1" t="s">
        <v>48</v>
      </c>
      <c r="B42" s="1" t="s">
        <v>20</v>
      </c>
      <c r="C42" s="1" t="s">
        <v>4</v>
      </c>
    </row>
    <row r="43" spans="1:3" x14ac:dyDescent="0.35">
      <c r="A43" s="1" t="s">
        <v>49</v>
      </c>
      <c r="B43" s="1" t="s">
        <v>3</v>
      </c>
      <c r="C43" s="1" t="s">
        <v>4</v>
      </c>
    </row>
    <row r="44" spans="1:3" x14ac:dyDescent="0.35">
      <c r="A44" s="1" t="s">
        <v>50</v>
      </c>
      <c r="B44" s="1" t="s">
        <v>3</v>
      </c>
      <c r="C44" s="1" t="s">
        <v>4</v>
      </c>
    </row>
    <row r="45" spans="1:3" x14ac:dyDescent="0.35">
      <c r="A45" s="1" t="s">
        <v>51</v>
      </c>
      <c r="B45" s="1" t="s">
        <v>6</v>
      </c>
      <c r="C45" s="1" t="s">
        <v>4</v>
      </c>
    </row>
    <row r="46" spans="1:3" x14ac:dyDescent="0.35">
      <c r="A46" s="1" t="s">
        <v>52</v>
      </c>
      <c r="B46" s="1" t="s">
        <v>13</v>
      </c>
      <c r="C46" s="1" t="s">
        <v>8</v>
      </c>
    </row>
    <row r="47" spans="1:3" x14ac:dyDescent="0.35">
      <c r="A47" s="1" t="s">
        <v>53</v>
      </c>
      <c r="B47" s="1" t="s">
        <v>3</v>
      </c>
      <c r="C47" s="1" t="s">
        <v>8</v>
      </c>
    </row>
    <row r="48" spans="1:3" x14ac:dyDescent="0.35">
      <c r="A48" s="1" t="s">
        <v>54</v>
      </c>
      <c r="B48" s="1" t="s">
        <v>6</v>
      </c>
      <c r="C48" s="1" t="s">
        <v>8</v>
      </c>
    </row>
    <row r="49" spans="1:3" x14ac:dyDescent="0.35">
      <c r="A49" s="1" t="s">
        <v>55</v>
      </c>
      <c r="B49" s="1" t="s">
        <v>3</v>
      </c>
      <c r="C49" s="1" t="s">
        <v>4</v>
      </c>
    </row>
    <row r="50" spans="1:3" x14ac:dyDescent="0.35">
      <c r="A50" s="1" t="s">
        <v>56</v>
      </c>
      <c r="B50" s="1" t="s">
        <v>20</v>
      </c>
      <c r="C50" s="1" t="s">
        <v>8</v>
      </c>
    </row>
    <row r="51" spans="1:3" x14ac:dyDescent="0.35">
      <c r="A51" s="1" t="s">
        <v>57</v>
      </c>
      <c r="B51" s="1" t="s">
        <v>6</v>
      </c>
      <c r="C5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2A32-2B3A-4781-8C18-E8E14175631D}">
  <dimension ref="A1:O32"/>
  <sheetViews>
    <sheetView topLeftCell="A2" workbookViewId="0">
      <selection activeCell="F21" sqref="F21"/>
    </sheetView>
  </sheetViews>
  <sheetFormatPr defaultRowHeight="14.5" x14ac:dyDescent="0.35"/>
  <cols>
    <col min="14" max="14" width="11.9140625" customWidth="1"/>
    <col min="15" max="15" width="8.1640625" customWidth="1"/>
  </cols>
  <sheetData>
    <row r="1" spans="1:15" ht="29" x14ac:dyDescent="0.35">
      <c r="A1" t="s">
        <v>68</v>
      </c>
      <c r="C1" t="s">
        <v>64</v>
      </c>
      <c r="D1" t="s">
        <v>65</v>
      </c>
      <c r="E1" t="s">
        <v>66</v>
      </c>
      <c r="F1" t="s">
        <v>67</v>
      </c>
      <c r="N1" s="6" t="s">
        <v>68</v>
      </c>
      <c r="O1" s="6" t="s">
        <v>69</v>
      </c>
    </row>
    <row r="2" spans="1:15" x14ac:dyDescent="0.35">
      <c r="A2">
        <v>78</v>
      </c>
      <c r="C2" cm="1">
        <f t="array" ref="C2:C32">_xlfn._xlws.SORT(A2:A32)</f>
        <v>75</v>
      </c>
      <c r="D2">
        <f>IF(C2=C1,D1+E$2,F$2)</f>
        <v>1</v>
      </c>
      <c r="E2">
        <v>1</v>
      </c>
      <c r="F2">
        <v>1</v>
      </c>
      <c r="N2" t="s">
        <v>70</v>
      </c>
      <c r="O2">
        <f>COUNTIF(A$2:A$32,"&gt;=75")-COUNTIF(A$2:A$32,"&gt;80")</f>
        <v>8</v>
      </c>
    </row>
    <row r="3" spans="1:15" x14ac:dyDescent="0.35">
      <c r="A3">
        <v>75</v>
      </c>
      <c r="C3">
        <v>78</v>
      </c>
      <c r="D3">
        <f t="shared" ref="D3:D32" si="0">IF(C3=C2,D2+E$2,F$2)</f>
        <v>1</v>
      </c>
      <c r="N3" t="s">
        <v>71</v>
      </c>
      <c r="O3">
        <f>COUNTIF(A$2:A$32,"&gt;80")-COUNTIF(A$2:A$32,"&gt;85")</f>
        <v>10</v>
      </c>
    </row>
    <row r="4" spans="1:15" x14ac:dyDescent="0.35">
      <c r="A4">
        <v>83</v>
      </c>
      <c r="C4">
        <v>78</v>
      </c>
      <c r="D4">
        <f t="shared" si="0"/>
        <v>2</v>
      </c>
      <c r="N4" t="s">
        <v>72</v>
      </c>
      <c r="O4">
        <f>COUNTIF(A$2:A$32,"&gt;85")-COUNTIF(A$2:A$32,"&gt;90")</f>
        <v>8</v>
      </c>
    </row>
    <row r="5" spans="1:15" x14ac:dyDescent="0.35">
      <c r="A5">
        <v>85</v>
      </c>
      <c r="C5">
        <v>79</v>
      </c>
      <c r="D5">
        <f t="shared" si="0"/>
        <v>1</v>
      </c>
      <c r="N5" t="s">
        <v>73</v>
      </c>
      <c r="O5">
        <f>COUNTIF(A$2:A$32,"&gt;90")-COUNTIF(A$2:A$32,"&gt;95")</f>
        <v>5</v>
      </c>
    </row>
    <row r="6" spans="1:15" x14ac:dyDescent="0.35">
      <c r="A6">
        <v>87</v>
      </c>
      <c r="C6">
        <v>79</v>
      </c>
      <c r="D6">
        <f t="shared" si="0"/>
        <v>2</v>
      </c>
    </row>
    <row r="7" spans="1:15" x14ac:dyDescent="0.35">
      <c r="A7">
        <v>91</v>
      </c>
      <c r="C7">
        <v>80</v>
      </c>
      <c r="D7">
        <f t="shared" si="0"/>
        <v>1</v>
      </c>
    </row>
    <row r="8" spans="1:15" x14ac:dyDescent="0.35">
      <c r="A8">
        <v>78</v>
      </c>
      <c r="C8">
        <v>80</v>
      </c>
      <c r="D8">
        <f t="shared" si="0"/>
        <v>2</v>
      </c>
    </row>
    <row r="9" spans="1:15" x14ac:dyDescent="0.35">
      <c r="A9">
        <v>91</v>
      </c>
      <c r="C9">
        <v>80</v>
      </c>
      <c r="D9">
        <f t="shared" si="0"/>
        <v>3</v>
      </c>
    </row>
    <row r="10" spans="1:15" x14ac:dyDescent="0.35">
      <c r="A10">
        <v>85</v>
      </c>
      <c r="C10">
        <v>81</v>
      </c>
      <c r="D10">
        <f t="shared" si="0"/>
        <v>1</v>
      </c>
    </row>
    <row r="11" spans="1:15" x14ac:dyDescent="0.35">
      <c r="A11">
        <v>84</v>
      </c>
      <c r="C11">
        <v>83</v>
      </c>
      <c r="D11">
        <f t="shared" si="0"/>
        <v>1</v>
      </c>
    </row>
    <row r="12" spans="1:15" x14ac:dyDescent="0.35">
      <c r="A12">
        <v>80</v>
      </c>
      <c r="C12">
        <v>83</v>
      </c>
      <c r="D12">
        <f t="shared" si="0"/>
        <v>2</v>
      </c>
    </row>
    <row r="13" spans="1:15" x14ac:dyDescent="0.35">
      <c r="A13">
        <v>79</v>
      </c>
      <c r="C13">
        <v>83</v>
      </c>
      <c r="D13">
        <f t="shared" si="0"/>
        <v>3</v>
      </c>
    </row>
    <row r="14" spans="1:15" x14ac:dyDescent="0.35">
      <c r="A14">
        <v>83</v>
      </c>
      <c r="C14">
        <v>84</v>
      </c>
      <c r="D14">
        <f t="shared" si="0"/>
        <v>1</v>
      </c>
    </row>
    <row r="15" spans="1:15" x14ac:dyDescent="0.35">
      <c r="A15">
        <v>85</v>
      </c>
      <c r="C15">
        <v>84</v>
      </c>
      <c r="D15">
        <f t="shared" si="0"/>
        <v>2</v>
      </c>
    </row>
    <row r="16" spans="1:15" x14ac:dyDescent="0.35">
      <c r="A16">
        <v>86</v>
      </c>
      <c r="C16">
        <v>85</v>
      </c>
      <c r="D16">
        <f t="shared" si="0"/>
        <v>1</v>
      </c>
    </row>
    <row r="17" spans="1:4" x14ac:dyDescent="0.35">
      <c r="A17">
        <v>80</v>
      </c>
      <c r="C17">
        <v>85</v>
      </c>
      <c r="D17">
        <f t="shared" si="0"/>
        <v>2</v>
      </c>
    </row>
    <row r="18" spans="1:4" x14ac:dyDescent="0.35">
      <c r="A18">
        <v>88</v>
      </c>
      <c r="C18">
        <v>85</v>
      </c>
      <c r="D18">
        <f t="shared" si="0"/>
        <v>3</v>
      </c>
    </row>
    <row r="19" spans="1:4" x14ac:dyDescent="0.35">
      <c r="A19">
        <v>94</v>
      </c>
      <c r="C19">
        <v>85</v>
      </c>
      <c r="D19">
        <f t="shared" si="0"/>
        <v>4</v>
      </c>
    </row>
    <row r="20" spans="1:4" x14ac:dyDescent="0.35">
      <c r="A20">
        <v>89</v>
      </c>
      <c r="C20">
        <v>86</v>
      </c>
      <c r="D20">
        <f t="shared" si="0"/>
        <v>1</v>
      </c>
    </row>
    <row r="21" spans="1:4" x14ac:dyDescent="0.35">
      <c r="A21">
        <v>86</v>
      </c>
      <c r="C21">
        <v>86</v>
      </c>
      <c r="D21">
        <f t="shared" si="0"/>
        <v>2</v>
      </c>
    </row>
    <row r="22" spans="1:4" x14ac:dyDescent="0.35">
      <c r="A22">
        <v>88</v>
      </c>
      <c r="C22">
        <v>87</v>
      </c>
      <c r="D22">
        <f t="shared" si="0"/>
        <v>1</v>
      </c>
    </row>
    <row r="23" spans="1:4" x14ac:dyDescent="0.35">
      <c r="A23">
        <v>84</v>
      </c>
      <c r="C23">
        <v>87</v>
      </c>
      <c r="D23">
        <f t="shared" si="0"/>
        <v>2</v>
      </c>
    </row>
    <row r="24" spans="1:4" x14ac:dyDescent="0.35">
      <c r="A24">
        <v>81</v>
      </c>
      <c r="C24">
        <v>88</v>
      </c>
      <c r="D24">
        <f t="shared" si="0"/>
        <v>1</v>
      </c>
    </row>
    <row r="25" spans="1:4" x14ac:dyDescent="0.35">
      <c r="A25">
        <v>85</v>
      </c>
      <c r="C25">
        <v>88</v>
      </c>
      <c r="D25">
        <f t="shared" si="0"/>
        <v>2</v>
      </c>
    </row>
    <row r="26" spans="1:4" x14ac:dyDescent="0.35">
      <c r="A26">
        <v>83</v>
      </c>
      <c r="C26">
        <v>88</v>
      </c>
      <c r="D26">
        <f t="shared" si="0"/>
        <v>3</v>
      </c>
    </row>
    <row r="27" spans="1:4" x14ac:dyDescent="0.35">
      <c r="A27">
        <v>80</v>
      </c>
      <c r="C27">
        <v>89</v>
      </c>
      <c r="D27">
        <f t="shared" si="0"/>
        <v>1</v>
      </c>
    </row>
    <row r="28" spans="1:4" x14ac:dyDescent="0.35">
      <c r="A28">
        <v>79</v>
      </c>
      <c r="C28">
        <v>91</v>
      </c>
      <c r="D28">
        <f t="shared" si="0"/>
        <v>1</v>
      </c>
    </row>
    <row r="29" spans="1:4" x14ac:dyDescent="0.35">
      <c r="A29">
        <v>87</v>
      </c>
      <c r="C29">
        <v>91</v>
      </c>
      <c r="D29">
        <f t="shared" si="0"/>
        <v>2</v>
      </c>
    </row>
    <row r="30" spans="1:4" x14ac:dyDescent="0.35">
      <c r="A30">
        <v>88</v>
      </c>
      <c r="C30">
        <v>91</v>
      </c>
      <c r="D30">
        <f t="shared" si="0"/>
        <v>3</v>
      </c>
    </row>
    <row r="31" spans="1:4" x14ac:dyDescent="0.35">
      <c r="A31">
        <v>91</v>
      </c>
      <c r="C31">
        <v>94</v>
      </c>
      <c r="D31">
        <f t="shared" si="0"/>
        <v>1</v>
      </c>
    </row>
    <row r="32" spans="1:4" x14ac:dyDescent="0.35">
      <c r="A32">
        <v>95</v>
      </c>
      <c r="C32">
        <v>95</v>
      </c>
      <c r="D32">
        <f t="shared" si="0"/>
        <v>1</v>
      </c>
    </row>
  </sheetData>
  <pageMargins left="0.7" right="0.7" top="0.75" bottom="0.75" header="0.3" footer="0.3"/>
  <pageSetup fitToHeight="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F232-8865-471A-B5AC-EAD65C5FA438}">
  <dimension ref="A1:E31"/>
  <sheetViews>
    <sheetView topLeftCell="C1" workbookViewId="0">
      <selection activeCell="O3" sqref="O3"/>
    </sheetView>
  </sheetViews>
  <sheetFormatPr defaultRowHeight="14.5" x14ac:dyDescent="0.35"/>
  <cols>
    <col min="3" max="5" width="11.58203125" customWidth="1"/>
  </cols>
  <sheetData>
    <row r="1" spans="1:5" ht="43.5" x14ac:dyDescent="0.35">
      <c r="A1" t="s">
        <v>74</v>
      </c>
      <c r="C1" s="6" t="s">
        <v>76</v>
      </c>
      <c r="D1" s="6" t="s">
        <v>75</v>
      </c>
      <c r="E1" s="6" t="s">
        <v>77</v>
      </c>
    </row>
    <row r="2" spans="1:5" x14ac:dyDescent="0.35">
      <c r="A2">
        <v>2</v>
      </c>
      <c r="C2">
        <v>0</v>
      </c>
      <c r="D2">
        <f>COUNTIF(A$2:A$31,"&lt;="&amp;C2)</f>
        <v>0</v>
      </c>
      <c r="E2" s="7">
        <f>Table2[[#This Row],[Cumulative Frequency]]/30</f>
        <v>0</v>
      </c>
    </row>
    <row r="3" spans="1:5" x14ac:dyDescent="0.35">
      <c r="A3">
        <v>5</v>
      </c>
      <c r="C3">
        <v>1</v>
      </c>
      <c r="D3">
        <f t="shared" ref="D3:D22" si="0">COUNTIF(A$2:A$31,"&lt;="&amp;C3)</f>
        <v>0</v>
      </c>
      <c r="E3" s="7">
        <f>Table2[[#This Row],[Cumulative Frequency]]/30</f>
        <v>0</v>
      </c>
    </row>
    <row r="4" spans="1:5" x14ac:dyDescent="0.35">
      <c r="A4">
        <v>7</v>
      </c>
      <c r="C4">
        <v>2</v>
      </c>
      <c r="D4">
        <f t="shared" si="0"/>
        <v>2</v>
      </c>
      <c r="E4" s="7">
        <f>Table2[[#This Row],[Cumulative Frequency]]/30</f>
        <v>6.6666666666666666E-2</v>
      </c>
    </row>
    <row r="5" spans="1:5" x14ac:dyDescent="0.35">
      <c r="A5">
        <v>3</v>
      </c>
      <c r="C5">
        <v>3</v>
      </c>
      <c r="D5">
        <f t="shared" si="0"/>
        <v>4</v>
      </c>
      <c r="E5" s="7">
        <f>Table2[[#This Row],[Cumulative Frequency]]/30</f>
        <v>0.13333333333333333</v>
      </c>
    </row>
    <row r="6" spans="1:5" x14ac:dyDescent="0.35">
      <c r="A6">
        <v>2</v>
      </c>
      <c r="C6">
        <v>4</v>
      </c>
      <c r="D6">
        <f t="shared" si="0"/>
        <v>6</v>
      </c>
      <c r="E6" s="7">
        <f>Table2[[#This Row],[Cumulative Frequency]]/30</f>
        <v>0.2</v>
      </c>
    </row>
    <row r="7" spans="1:5" x14ac:dyDescent="0.35">
      <c r="A7">
        <v>10</v>
      </c>
      <c r="C7">
        <v>5</v>
      </c>
      <c r="D7">
        <f t="shared" si="0"/>
        <v>10</v>
      </c>
      <c r="E7" s="7">
        <f>Table2[[#This Row],[Cumulative Frequency]]/30</f>
        <v>0.33333333333333331</v>
      </c>
    </row>
    <row r="8" spans="1:5" x14ac:dyDescent="0.35">
      <c r="A8">
        <v>18</v>
      </c>
      <c r="C8">
        <v>6</v>
      </c>
      <c r="D8">
        <f t="shared" si="0"/>
        <v>11</v>
      </c>
      <c r="E8" s="7">
        <f>Table2[[#This Row],[Cumulative Frequency]]/30</f>
        <v>0.36666666666666664</v>
      </c>
    </row>
    <row r="9" spans="1:5" x14ac:dyDescent="0.35">
      <c r="A9">
        <v>15</v>
      </c>
      <c r="C9">
        <v>7</v>
      </c>
      <c r="D9">
        <f t="shared" si="0"/>
        <v>15</v>
      </c>
      <c r="E9" s="7">
        <f>Table2[[#This Row],[Cumulative Frequency]]/30</f>
        <v>0.5</v>
      </c>
    </row>
    <row r="10" spans="1:5" x14ac:dyDescent="0.35">
      <c r="A10">
        <v>20</v>
      </c>
      <c r="C10">
        <v>8</v>
      </c>
      <c r="D10">
        <f t="shared" si="0"/>
        <v>15</v>
      </c>
      <c r="E10" s="7">
        <f>Table2[[#This Row],[Cumulative Frequency]]/30</f>
        <v>0.5</v>
      </c>
    </row>
    <row r="11" spans="1:5" x14ac:dyDescent="0.35">
      <c r="A11">
        <v>7</v>
      </c>
      <c r="C11">
        <v>9</v>
      </c>
      <c r="D11">
        <f t="shared" si="0"/>
        <v>15</v>
      </c>
      <c r="E11" s="7">
        <f>Table2[[#This Row],[Cumulative Frequency]]/30</f>
        <v>0.5</v>
      </c>
    </row>
    <row r="12" spans="1:5" x14ac:dyDescent="0.35">
      <c r="A12">
        <v>10</v>
      </c>
      <c r="C12">
        <v>10</v>
      </c>
      <c r="D12">
        <f t="shared" si="0"/>
        <v>19</v>
      </c>
      <c r="E12" s="7">
        <f>Table2[[#This Row],[Cumulative Frequency]]/30</f>
        <v>0.6333333333333333</v>
      </c>
    </row>
    <row r="13" spans="1:5" x14ac:dyDescent="0.35">
      <c r="A13">
        <v>18</v>
      </c>
      <c r="C13">
        <v>11</v>
      </c>
      <c r="D13">
        <f t="shared" si="0"/>
        <v>20</v>
      </c>
      <c r="E13" s="7">
        <f>Table2[[#This Row],[Cumulative Frequency]]/30</f>
        <v>0.66666666666666663</v>
      </c>
    </row>
    <row r="14" spans="1:5" x14ac:dyDescent="0.35">
      <c r="A14">
        <v>5</v>
      </c>
      <c r="C14">
        <v>12</v>
      </c>
      <c r="D14">
        <f t="shared" si="0"/>
        <v>23</v>
      </c>
      <c r="E14" s="7">
        <f>Table2[[#This Row],[Cumulative Frequency]]/30</f>
        <v>0.76666666666666672</v>
      </c>
    </row>
    <row r="15" spans="1:5" x14ac:dyDescent="0.35">
      <c r="A15">
        <v>12</v>
      </c>
      <c r="C15">
        <v>13</v>
      </c>
      <c r="D15">
        <f t="shared" si="0"/>
        <v>25</v>
      </c>
      <c r="E15" s="7">
        <f>Table2[[#This Row],[Cumulative Frequency]]/30</f>
        <v>0.83333333333333337</v>
      </c>
    </row>
    <row r="16" spans="1:5" x14ac:dyDescent="0.35">
      <c r="A16">
        <v>13</v>
      </c>
      <c r="C16">
        <v>14</v>
      </c>
      <c r="D16">
        <f t="shared" si="0"/>
        <v>26</v>
      </c>
      <c r="E16" s="7">
        <f>Table2[[#This Row],[Cumulative Frequency]]/30</f>
        <v>0.8666666666666667</v>
      </c>
    </row>
    <row r="17" spans="1:5" x14ac:dyDescent="0.35">
      <c r="A17">
        <v>12</v>
      </c>
      <c r="C17">
        <v>15</v>
      </c>
      <c r="D17">
        <f t="shared" si="0"/>
        <v>27</v>
      </c>
      <c r="E17" s="7">
        <f>Table2[[#This Row],[Cumulative Frequency]]/30</f>
        <v>0.9</v>
      </c>
    </row>
    <row r="18" spans="1:5" x14ac:dyDescent="0.35">
      <c r="A18">
        <v>4</v>
      </c>
      <c r="C18">
        <v>16</v>
      </c>
      <c r="D18">
        <f t="shared" si="0"/>
        <v>27</v>
      </c>
      <c r="E18" s="7">
        <f>Table2[[#This Row],[Cumulative Frequency]]/30</f>
        <v>0.9</v>
      </c>
    </row>
    <row r="19" spans="1:5" x14ac:dyDescent="0.35">
      <c r="A19">
        <v>5</v>
      </c>
      <c r="C19">
        <v>17</v>
      </c>
      <c r="D19">
        <f t="shared" si="0"/>
        <v>27</v>
      </c>
      <c r="E19" s="7">
        <f>Table2[[#This Row],[Cumulative Frequency]]/30</f>
        <v>0.9</v>
      </c>
    </row>
    <row r="20" spans="1:5" x14ac:dyDescent="0.35">
      <c r="A20">
        <v>10</v>
      </c>
      <c r="C20">
        <v>18</v>
      </c>
      <c r="D20">
        <f t="shared" si="0"/>
        <v>29</v>
      </c>
      <c r="E20" s="7">
        <f>Table2[[#This Row],[Cumulative Frequency]]/30</f>
        <v>0.96666666666666667</v>
      </c>
    </row>
    <row r="21" spans="1:5" x14ac:dyDescent="0.35">
      <c r="A21">
        <v>7</v>
      </c>
      <c r="C21">
        <v>19</v>
      </c>
      <c r="D21">
        <f t="shared" si="0"/>
        <v>29</v>
      </c>
      <c r="E21" s="7">
        <f>Table2[[#This Row],[Cumulative Frequency]]/30</f>
        <v>0.96666666666666667</v>
      </c>
    </row>
    <row r="22" spans="1:5" x14ac:dyDescent="0.35">
      <c r="A22">
        <v>10</v>
      </c>
      <c r="C22">
        <v>20</v>
      </c>
      <c r="D22">
        <f t="shared" si="0"/>
        <v>30</v>
      </c>
      <c r="E22" s="7">
        <f>Table2[[#This Row],[Cumulative Frequency]]/30</f>
        <v>1</v>
      </c>
    </row>
    <row r="23" spans="1:5" x14ac:dyDescent="0.35">
      <c r="A23">
        <v>12</v>
      </c>
    </row>
    <row r="24" spans="1:5" x14ac:dyDescent="0.35">
      <c r="A24">
        <v>7</v>
      </c>
    </row>
    <row r="25" spans="1:5" x14ac:dyDescent="0.35">
      <c r="A25">
        <v>3</v>
      </c>
    </row>
    <row r="26" spans="1:5" x14ac:dyDescent="0.35">
      <c r="A26">
        <v>4</v>
      </c>
    </row>
    <row r="27" spans="1:5" x14ac:dyDescent="0.35">
      <c r="A27">
        <v>11</v>
      </c>
    </row>
    <row r="28" spans="1:5" x14ac:dyDescent="0.35">
      <c r="A28">
        <v>13</v>
      </c>
    </row>
    <row r="29" spans="1:5" x14ac:dyDescent="0.35">
      <c r="A29">
        <v>14</v>
      </c>
    </row>
    <row r="30" spans="1:5" x14ac:dyDescent="0.35">
      <c r="A30">
        <v>5</v>
      </c>
    </row>
    <row r="31" spans="1:5" x14ac:dyDescent="0.35">
      <c r="A31">
        <v>6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B5EF-C478-4E49-8586-02A114598CC4}">
  <dimension ref="A1:U17"/>
  <sheetViews>
    <sheetView tabSelected="1" topLeftCell="B1" workbookViewId="0">
      <selection activeCell="D13" sqref="D13"/>
    </sheetView>
  </sheetViews>
  <sheetFormatPr defaultRowHeight="14.5" x14ac:dyDescent="0.35"/>
  <cols>
    <col min="1" max="1" width="11.75" bestFit="1" customWidth="1"/>
    <col min="2" max="2" width="33.25" bestFit="1" customWidth="1"/>
    <col min="3" max="3" width="8.75" bestFit="1" customWidth="1"/>
    <col min="4" max="4" width="11.75" bestFit="1" customWidth="1"/>
    <col min="6" max="6" width="11.75" bestFit="1" customWidth="1"/>
  </cols>
  <sheetData>
    <row r="1" spans="1:21" x14ac:dyDescent="0.35">
      <c r="A1" t="s">
        <v>78</v>
      </c>
      <c r="B1" t="s">
        <v>87</v>
      </c>
      <c r="C1" t="s">
        <v>79</v>
      </c>
      <c r="D1" t="s">
        <v>80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110</v>
      </c>
      <c r="S1" t="s">
        <v>111</v>
      </c>
      <c r="T1" t="s">
        <v>112</v>
      </c>
    </row>
    <row r="2" spans="1:21" x14ac:dyDescent="0.35">
      <c r="A2" t="s">
        <v>81</v>
      </c>
      <c r="B2" t="s">
        <v>89</v>
      </c>
      <c r="C2">
        <v>460</v>
      </c>
      <c r="D2">
        <v>215</v>
      </c>
      <c r="F2" t="s">
        <v>81</v>
      </c>
      <c r="G2">
        <f>AVERAGE($C$2:$C$5)</f>
        <v>435</v>
      </c>
      <c r="H2">
        <f>_xlfn.QUARTILE.INC($C2:$C5,0)</f>
        <v>300</v>
      </c>
      <c r="I2">
        <f>_xlfn.QUARTILE.INC($C2:$C5,1)</f>
        <v>367.5</v>
      </c>
      <c r="J2">
        <f>_xlfn.QUARTILE.INC($C2:$C5,2)</f>
        <v>425</v>
      </c>
      <c r="K2">
        <f>_xlfn.QUARTILE.INC($C2:$C5,3)</f>
        <v>492.5</v>
      </c>
      <c r="L2">
        <f>_xlfn.QUARTILE.INC($C2:$C5,4)</f>
        <v>590</v>
      </c>
      <c r="M2" s="8">
        <f>_xlfn.STDEV.S(C2:C5)</f>
        <v>122.33832869001712</v>
      </c>
      <c r="N2">
        <f>M2/G2*100</f>
        <v>28.123753721843016</v>
      </c>
      <c r="O2">
        <f>K2-I2</f>
        <v>125</v>
      </c>
      <c r="P2">
        <f>I2-(1.5*O2)</f>
        <v>180</v>
      </c>
      <c r="Q2">
        <f>K2+(1.5*O2)</f>
        <v>680</v>
      </c>
      <c r="R2" s="8">
        <f>G2-(2*M2)</f>
        <v>190.32334261996576</v>
      </c>
      <c r="S2" s="8">
        <f>G2+(2*M2)</f>
        <v>679.67665738003427</v>
      </c>
      <c r="T2">
        <f>COUNTIF($C2:$C5,"&lt;"&amp;R2)</f>
        <v>0</v>
      </c>
      <c r="U2">
        <f>COUNTIF($C2:$C5,"&gt;"&amp;S2)</f>
        <v>0</v>
      </c>
    </row>
    <row r="3" spans="1:21" x14ac:dyDescent="0.35">
      <c r="A3" t="s">
        <v>81</v>
      </c>
      <c r="B3" t="s">
        <v>90</v>
      </c>
      <c r="C3">
        <v>590</v>
      </c>
      <c r="D3">
        <v>85</v>
      </c>
      <c r="M3" s="8"/>
    </row>
    <row r="4" spans="1:21" x14ac:dyDescent="0.35">
      <c r="A4" t="s">
        <v>81</v>
      </c>
      <c r="B4" t="s">
        <v>82</v>
      </c>
      <c r="C4">
        <v>390</v>
      </c>
      <c r="D4">
        <v>30</v>
      </c>
      <c r="M4" s="8"/>
    </row>
    <row r="5" spans="1:21" x14ac:dyDescent="0.35">
      <c r="A5" t="s">
        <v>81</v>
      </c>
      <c r="B5" t="s">
        <v>83</v>
      </c>
      <c r="C5">
        <v>300</v>
      </c>
      <c r="D5">
        <v>40</v>
      </c>
      <c r="M5" s="8"/>
    </row>
    <row r="6" spans="1:21" x14ac:dyDescent="0.35">
      <c r="A6" t="s">
        <v>88</v>
      </c>
      <c r="B6" t="s">
        <v>91</v>
      </c>
      <c r="C6">
        <v>740</v>
      </c>
      <c r="D6">
        <v>115</v>
      </c>
      <c r="F6" t="s">
        <v>88</v>
      </c>
      <c r="G6">
        <f>AVERAGE($C$6:$C$9)</f>
        <v>522.5</v>
      </c>
      <c r="H6">
        <f>_xlfn.QUARTILE.INC($C6:$C9,0)</f>
        <v>280</v>
      </c>
      <c r="I6">
        <f>_xlfn.QUARTILE.INC($C6:$C9,1)</f>
        <v>370</v>
      </c>
      <c r="J6">
        <f>_xlfn.QUARTILE.INC($C6:$C9,2)</f>
        <v>535</v>
      </c>
      <c r="K6">
        <f>_xlfn.QUARTILE.INC($C6:$C9,3)</f>
        <v>687.5</v>
      </c>
      <c r="L6">
        <f>_xlfn.QUARTILE.INC($C6:$C9,4)</f>
        <v>740</v>
      </c>
      <c r="M6" s="8">
        <f>_xlfn.STDEV.S(C6:C9)</f>
        <v>218.23152842795196</v>
      </c>
      <c r="N6">
        <f>M6/G6*100</f>
        <v>41.766799699129557</v>
      </c>
      <c r="O6">
        <f>K6-I6</f>
        <v>317.5</v>
      </c>
      <c r="P6">
        <f>I6-(1.5*O6)</f>
        <v>-106.25</v>
      </c>
      <c r="Q6">
        <f>K6+(1.5*O6)</f>
        <v>1163.75</v>
      </c>
      <c r="R6" s="8">
        <f>G6-(2*M6)</f>
        <v>86.036943144096085</v>
      </c>
      <c r="S6" s="8">
        <f>G6+(2*M6)</f>
        <v>958.96305685590391</v>
      </c>
      <c r="T6">
        <f>COUNTIF($C6:$C9,"&lt;"&amp;R6)</f>
        <v>0</v>
      </c>
      <c r="U6">
        <f>COUNTIF($C6:$C9,"&gt;"&amp;S6)</f>
        <v>0</v>
      </c>
    </row>
    <row r="7" spans="1:21" x14ac:dyDescent="0.35">
      <c r="A7" t="s">
        <v>88</v>
      </c>
      <c r="B7" t="s">
        <v>83</v>
      </c>
      <c r="C7">
        <v>280</v>
      </c>
      <c r="D7">
        <v>45</v>
      </c>
      <c r="M7" s="8"/>
    </row>
    <row r="8" spans="1:21" x14ac:dyDescent="0.35">
      <c r="A8" t="s">
        <v>88</v>
      </c>
      <c r="B8" t="s">
        <v>92</v>
      </c>
      <c r="C8">
        <v>670</v>
      </c>
      <c r="D8">
        <v>60</v>
      </c>
      <c r="M8" s="8"/>
    </row>
    <row r="9" spans="1:21" x14ac:dyDescent="0.35">
      <c r="A9" t="s">
        <v>88</v>
      </c>
      <c r="B9" t="s">
        <v>93</v>
      </c>
      <c r="C9">
        <v>400</v>
      </c>
      <c r="D9">
        <v>170</v>
      </c>
      <c r="M9" s="8"/>
    </row>
    <row r="10" spans="1:21" x14ac:dyDescent="0.35">
      <c r="A10" t="s">
        <v>84</v>
      </c>
      <c r="B10" t="s">
        <v>85</v>
      </c>
      <c r="C10">
        <v>960</v>
      </c>
      <c r="D10">
        <v>155</v>
      </c>
      <c r="F10" t="s">
        <v>84</v>
      </c>
      <c r="G10">
        <f>AVERAGE($C$10:$C$13)</f>
        <v>617.5</v>
      </c>
      <c r="H10">
        <f>_xlfn.QUARTILE.INC($C10:$C13,0)</f>
        <v>440</v>
      </c>
      <c r="I10">
        <f>_xlfn.QUARTILE.INC($C10:$C13,1)</f>
        <v>477.5</v>
      </c>
      <c r="J10">
        <f>_xlfn.QUARTILE.INC($C10:$C13,2)</f>
        <v>535</v>
      </c>
      <c r="K10">
        <f>_xlfn.QUARTILE.INC($C10:$C13,3)</f>
        <v>675</v>
      </c>
      <c r="L10">
        <f>_xlfn.QUARTILE.INC($C10:$C13,4)</f>
        <v>960</v>
      </c>
      <c r="M10" s="8">
        <f>_xlfn.STDEV.S(C10:C13)</f>
        <v>235.56669260883777</v>
      </c>
      <c r="N10">
        <f>M10/G10*100</f>
        <v>38.148452244346196</v>
      </c>
      <c r="O10">
        <f>K10-I10</f>
        <v>197.5</v>
      </c>
      <c r="P10">
        <f>I10-(1.5*O10)</f>
        <v>181.25</v>
      </c>
      <c r="Q10">
        <f>K10+(1.5*O10)</f>
        <v>971.25</v>
      </c>
      <c r="R10" s="8">
        <f>G10-(2*M10)</f>
        <v>146.36661478232446</v>
      </c>
      <c r="S10" s="8">
        <f>G10+(2*M10)</f>
        <v>1088.6333852176756</v>
      </c>
      <c r="T10">
        <f>COUNTIF($C10:$C13,"&lt;"&amp;R10)</f>
        <v>0</v>
      </c>
      <c r="U10">
        <f>COUNTIF($C10:$C13,"&gt;"&amp;S10)</f>
        <v>0</v>
      </c>
    </row>
    <row r="11" spans="1:21" x14ac:dyDescent="0.35">
      <c r="A11" t="s">
        <v>84</v>
      </c>
      <c r="B11" t="s">
        <v>94</v>
      </c>
      <c r="C11">
        <v>440</v>
      </c>
      <c r="D11">
        <v>65</v>
      </c>
      <c r="M11" s="8"/>
    </row>
    <row r="12" spans="1:21" x14ac:dyDescent="0.35">
      <c r="A12" t="s">
        <v>84</v>
      </c>
      <c r="B12" t="s">
        <v>95</v>
      </c>
      <c r="C12">
        <v>490</v>
      </c>
      <c r="D12">
        <v>75</v>
      </c>
      <c r="M12" s="8"/>
    </row>
    <row r="13" spans="1:21" x14ac:dyDescent="0.35">
      <c r="A13" t="s">
        <v>84</v>
      </c>
      <c r="B13" t="s">
        <v>96</v>
      </c>
      <c r="C13">
        <v>580</v>
      </c>
      <c r="M13" s="8"/>
    </row>
    <row r="14" spans="1:21" x14ac:dyDescent="0.35">
      <c r="A14" t="s">
        <v>86</v>
      </c>
      <c r="B14" t="s">
        <v>97</v>
      </c>
      <c r="C14">
        <v>460</v>
      </c>
      <c r="D14">
        <v>45</v>
      </c>
      <c r="F14" t="s">
        <v>86</v>
      </c>
      <c r="G14">
        <f>AVERAGE($C$14:$C$17)</f>
        <v>380</v>
      </c>
      <c r="H14">
        <f>_xlfn.QUARTILE.INC($C14:$C17,0)</f>
        <v>250</v>
      </c>
      <c r="I14">
        <f>_xlfn.QUARTILE.INC($C14:$C17,1)</f>
        <v>355</v>
      </c>
      <c r="J14">
        <f>_xlfn.QUARTILE.INC($C14:$C17,2)</f>
        <v>405</v>
      </c>
      <c r="K14">
        <f>_xlfn.QUARTILE.INC($C14:$C17,3)</f>
        <v>430</v>
      </c>
      <c r="L14">
        <f>_xlfn.QUARTILE.INC($C14:$C17,4)</f>
        <v>460</v>
      </c>
      <c r="M14" s="8">
        <f>_xlfn.STDEV.S(C14:C17)</f>
        <v>91.287092917527687</v>
      </c>
      <c r="N14">
        <f>M14/G14*100</f>
        <v>24.022919188823074</v>
      </c>
      <c r="O14">
        <f>K14-I14</f>
        <v>75</v>
      </c>
      <c r="P14">
        <f>I14-(1.5*O14)</f>
        <v>242.5</v>
      </c>
      <c r="Q14">
        <f>K14+(1.5*O14)</f>
        <v>542.5</v>
      </c>
      <c r="R14" s="8">
        <f>G14-(2*M14)</f>
        <v>197.42581416494463</v>
      </c>
      <c r="S14" s="8">
        <f>G14+(2*M14)</f>
        <v>562.57418583505535</v>
      </c>
      <c r="T14">
        <f>COUNTIF($C14:$C17,"&lt;"&amp;R14)</f>
        <v>0</v>
      </c>
      <c r="U14">
        <f>COUNTIF($C14:$C17,"&gt;"&amp;S14)</f>
        <v>0</v>
      </c>
    </row>
    <row r="15" spans="1:21" x14ac:dyDescent="0.35">
      <c r="A15" t="s">
        <v>86</v>
      </c>
      <c r="B15" t="s">
        <v>98</v>
      </c>
      <c r="C15">
        <v>420</v>
      </c>
      <c r="D15">
        <v>180</v>
      </c>
    </row>
    <row r="16" spans="1:21" x14ac:dyDescent="0.35">
      <c r="A16" t="s">
        <v>86</v>
      </c>
      <c r="B16" t="s">
        <v>99</v>
      </c>
      <c r="C16">
        <v>390</v>
      </c>
      <c r="D16">
        <v>75</v>
      </c>
      <c r="F16" t="s">
        <v>113</v>
      </c>
      <c r="G16">
        <f>AVERAGE($D$2:$D$9)</f>
        <v>95</v>
      </c>
      <c r="H16">
        <f>_xlfn.QUARTILE.INC($D$2:$D$9,0)</f>
        <v>30</v>
      </c>
      <c r="I16">
        <f>_xlfn.QUARTILE.INC($D$2:$D$9,1)</f>
        <v>43.75</v>
      </c>
      <c r="J16">
        <f>_xlfn.QUARTILE.INC($D$2:$D$9,2)</f>
        <v>72.5</v>
      </c>
      <c r="K16">
        <f>_xlfn.QUARTILE.INC($D$2:$D$9,3)</f>
        <v>128.75</v>
      </c>
      <c r="L16">
        <f>_xlfn.QUARTILE.INC($D$2:$D$9,4)</f>
        <v>215</v>
      </c>
      <c r="M16" s="8">
        <f>_xlfn.STDEV.S($D$2:$D$9)</f>
        <v>67.082039324993687</v>
      </c>
      <c r="N16">
        <f>M16/G16*100</f>
        <v>70.612672973677576</v>
      </c>
      <c r="O16">
        <f>K16-I16</f>
        <v>85</v>
      </c>
      <c r="P16">
        <f>I16-(1.5*O16)</f>
        <v>-83.75</v>
      </c>
      <c r="Q16">
        <f>K16+(1.5*O16)</f>
        <v>256.25</v>
      </c>
      <c r="R16" s="8">
        <f>G16-(2*M16)</f>
        <v>-39.164078649987374</v>
      </c>
      <c r="S16" s="8">
        <f>G16+(2*M16)</f>
        <v>229.16407864998737</v>
      </c>
      <c r="T16">
        <f>COUNTIF($C16:$C19,"&lt;"&amp;R16)</f>
        <v>0</v>
      </c>
      <c r="U16">
        <f>COUNTIF($C16:$C19,"&gt;"&amp;S16)</f>
        <v>2</v>
      </c>
    </row>
    <row r="17" spans="1:21" x14ac:dyDescent="0.35">
      <c r="A17" t="s">
        <v>86</v>
      </c>
      <c r="B17" t="s">
        <v>100</v>
      </c>
      <c r="C17">
        <v>250</v>
      </c>
      <c r="D17">
        <v>80</v>
      </c>
      <c r="F17" t="s">
        <v>114</v>
      </c>
      <c r="G17" s="8">
        <f>AVERAGE($D$10:$D$17)</f>
        <v>96.428571428571431</v>
      </c>
      <c r="H17">
        <f>_xlfn.QUARTILE.INC($D$10:$D$17,0)</f>
        <v>45</v>
      </c>
      <c r="I17">
        <f>_xlfn.QUARTILE.INC($D$10:$D$17,1)</f>
        <v>70</v>
      </c>
      <c r="J17">
        <f>_xlfn.QUARTILE.INC($D$10:$D$17,2)</f>
        <v>75</v>
      </c>
      <c r="K17">
        <f>_xlfn.QUARTILE.INC($D$10:$D$17,3)</f>
        <v>117.5</v>
      </c>
      <c r="L17">
        <f>_xlfn.QUARTILE.INC($D$10:$D$17,4)</f>
        <v>180</v>
      </c>
      <c r="M17" s="8">
        <f>_xlfn.STDEV.S($D$10:$D$17)</f>
        <v>50.391325784163627</v>
      </c>
      <c r="N17">
        <f>M17/G17*100</f>
        <v>52.257671183577095</v>
      </c>
      <c r="O17">
        <f>K17-I17</f>
        <v>47.5</v>
      </c>
      <c r="P17">
        <f>I17-(1.5*O17)</f>
        <v>-1.25</v>
      </c>
      <c r="Q17">
        <f>K17+(1.5*O17)</f>
        <v>188.75</v>
      </c>
      <c r="R17" s="8">
        <f>G17-(2*M17)</f>
        <v>-4.3540801397558226</v>
      </c>
      <c r="S17" s="8">
        <f>G17+(2*M17)</f>
        <v>197.2112229968987</v>
      </c>
      <c r="T17">
        <f>COUNTIF($C17:$C20,"&lt;"&amp;R17)</f>
        <v>0</v>
      </c>
      <c r="U17">
        <f>COUNTIF($C17:$C20,"&gt;"&amp;S17)</f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Sheet1</vt:lpstr>
      <vt:lpstr>Sheet5</vt:lpstr>
      <vt:lpstr>Sheet7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cp:lastPrinted>2024-02-04T20:11:07Z</cp:lastPrinted>
  <dcterms:created xsi:type="dcterms:W3CDTF">2024-02-04T18:29:20Z</dcterms:created>
  <dcterms:modified xsi:type="dcterms:W3CDTF">2024-02-04T21:49:37Z</dcterms:modified>
</cp:coreProperties>
</file>